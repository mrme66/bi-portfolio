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02 Financial Performance Dashboard\Excel\"/>
    </mc:Choice>
  </mc:AlternateContent>
  <xr:revisionPtr revIDLastSave="0" documentId="13_ncr:1_{6A7B5BFD-B4FE-4CFB-891F-4DBDF2BE39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Excel_Analysis" sheetId="9" r:id="rId2"/>
    <sheet name="KPI Summary" sheetId="2" r:id="rId3"/>
    <sheet name="Department Peformance" sheetId="3" r:id="rId4"/>
    <sheet name="Monthly Financials" sheetId="4" r:id="rId5"/>
    <sheet name="Budget Variance" sheetId="5" r:id="rId6"/>
    <sheet name="Calculations" sheetId="6" r:id="rId7"/>
  </sheets>
  <definedNames>
    <definedName name="D53D57">Dashboard!$D$53</definedName>
    <definedName name="DepartmentList">department_performance[department_name]</definedName>
    <definedName name="E11G36">Calculations!$E$11</definedName>
    <definedName name="ExternalData_1" localSheetId="5" hidden="1">'Budget Variance'!$A$1:$G$37</definedName>
    <definedName name="ExternalData_1" localSheetId="3" hidden="1">'Department Peformance'!$A$1:$F$9</definedName>
    <definedName name="ExternalData_1" localSheetId="2" hidden="1">'KPI Summary'!$A$1:$D$2</definedName>
    <definedName name="ExternalData_1" localSheetId="4" hidden="1">'Monthly Financials'!$A$1:$F$37</definedName>
    <definedName name="F6G6">Dashboard!$F$6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9" l="1"/>
  <c r="H7" i="9"/>
  <c r="H6" i="9"/>
  <c r="H5" i="9"/>
  <c r="C8" i="9"/>
  <c r="C7" i="9"/>
  <c r="C6" i="9"/>
  <c r="C5" i="9"/>
  <c r="M7" i="1"/>
  <c r="I7" i="1"/>
  <c r="E7" i="1"/>
  <c r="A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4BDD0-2E30-4C3F-8B8F-E69803B1956F}" keepAlive="1" name="Query - budget_variance" description="Connection to the 'budget_variance' query in the workbook." type="5" refreshedVersion="7" background="1" saveData="1">
    <dbPr connection="Provider=Microsoft.Mashup.OleDb.1;Data Source=$Workbook$;Location=budget_variance;Extended Properties=&quot;&quot;" command="SELECT * FROM [budget_variance]"/>
  </connection>
  <connection id="2" xr16:uid="{21E189BE-AD83-478F-B7A9-0332AB79F7FD}" keepAlive="1" name="Query - department_performance" description="Connection to the 'department_performance' query in the workbook." type="5" refreshedVersion="7" background="1" saveData="1">
    <dbPr connection="Provider=Microsoft.Mashup.OleDb.1;Data Source=$Workbook$;Location=department_performance;Extended Properties=&quot;&quot;" command="SELECT * FROM [department_performance]"/>
  </connection>
  <connection id="3" xr16:uid="{3B999E58-5030-4C99-B829-5092A30093AF}" keepAlive="1" name="Query - kpi_summary" description="Connection to the 'kpi_summary' query in the workbook." type="5" refreshedVersion="7" background="1" saveData="1">
    <dbPr connection="Provider=Microsoft.Mashup.OleDb.1;Data Source=$Workbook$;Location=kpi_summary;Extended Properties=&quot;&quot;" command="SELECT * FROM [kpi_summary]"/>
  </connection>
  <connection id="4" xr16:uid="{62D09075-C0C1-41B4-90BA-BB5AB9D16CD0}" keepAlive="1" name="Query - monthly_financials" description="Connection to the 'monthly_financials' query in the workbook." type="5" refreshedVersion="7" background="1" saveData="1">
    <dbPr connection="Provider=Microsoft.Mashup.OleDb.1;Data Source=$Workbook$;Location=monthly_financials;Extended Properties=&quot;&quot;" command="SELECT * FROM [monthly_financials]"/>
  </connection>
</connections>
</file>

<file path=xl/sharedStrings.xml><?xml version="1.0" encoding="utf-8"?>
<sst xmlns="http://schemas.openxmlformats.org/spreadsheetml/2006/main" count="205" uniqueCount="69">
  <si>
    <t>total_revenue</t>
  </si>
  <si>
    <t>total_expenses</t>
  </si>
  <si>
    <t>total_profit</t>
  </si>
  <si>
    <t>profit_margin</t>
  </si>
  <si>
    <t>department_id</t>
  </si>
  <si>
    <t>department_name</t>
  </si>
  <si>
    <t>D001</t>
  </si>
  <si>
    <t>Sales</t>
  </si>
  <si>
    <t>D005</t>
  </si>
  <si>
    <t>Operations</t>
  </si>
  <si>
    <t>D002</t>
  </si>
  <si>
    <t>Marketing</t>
  </si>
  <si>
    <t>D006</t>
  </si>
  <si>
    <t>Information Technology</t>
  </si>
  <si>
    <t>D003</t>
  </si>
  <si>
    <t>Finance</t>
  </si>
  <si>
    <t>D008</t>
  </si>
  <si>
    <t>Research &amp; Development</t>
  </si>
  <si>
    <t>D007</t>
  </si>
  <si>
    <t>Customer Support</t>
  </si>
  <si>
    <t>D004</t>
  </si>
  <si>
    <t>Human Resources</t>
  </si>
  <si>
    <t>year</t>
  </si>
  <si>
    <t>month_number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</si>
  <si>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</si>
  <si>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</si>
  <si>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</si>
  <si>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</si>
  <si>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</si>
  <si>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</si>
  <si>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</si>
  <si>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</si>
  <si>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</si>
  <si>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</si>
  <si>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</si>
  <si>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</si>
  <si>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</si>
  <si>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total_budget</t>
  </si>
  <si>
    <t>actual_expense</t>
  </si>
  <si>
    <t>variance</t>
  </si>
  <si>
    <t>variance_percent</t>
  </si>
  <si>
    <t>APEX FINANCE</t>
  </si>
  <si>
    <t>APEX FINANCE EXECUTIVE FINANCIAL DASHBOARD</t>
  </si>
  <si>
    <t>Total Revenue</t>
  </si>
  <si>
    <t>Total Expenses</t>
  </si>
  <si>
    <t>Net Profit</t>
  </si>
  <si>
    <t>Profit Margin</t>
  </si>
  <si>
    <t>Reporting Period:
January 2023 – December 2025</t>
  </si>
  <si>
    <t>Last Updated:
July 2026</t>
  </si>
  <si>
    <t>Row Labels</t>
  </si>
  <si>
    <t>Grand Total</t>
  </si>
  <si>
    <t>Sum of total_revenue</t>
  </si>
  <si>
    <t>Sum of total_expenses</t>
  </si>
  <si>
    <t>Sum of total_profit</t>
  </si>
  <si>
    <t>Sum of total_budget</t>
  </si>
  <si>
    <t>Sum of actual_expense</t>
  </si>
  <si>
    <t>Department</t>
  </si>
  <si>
    <t>Top 5 Performing Departments</t>
  </si>
  <si>
    <t>#</t>
  </si>
  <si>
    <t>Advanced Excel Analysis</t>
  </si>
  <si>
    <t>Select Department</t>
  </si>
  <si>
    <t>Profit Margin:</t>
  </si>
  <si>
    <t>Select Year</t>
  </si>
  <si>
    <t>Revenue by Year</t>
  </si>
  <si>
    <t>Expenses by Year</t>
  </si>
  <si>
    <t>Net Profit by Year</t>
  </si>
  <si>
    <t>Profit Margin by Year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</si>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</sst>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9" formatCode="&quot;NGN &quot;0.00,,,\ &quot;B&quot;"/>
    <numFmt numFmtId="170" formatCode="&quot;NGN &quot;0.00,,\ &quot;M&quot;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/>
    <xf numFmtId="0" fontId="2" fillId="0" borderId="0" xfId="0" applyFont="1"/>
    <xf numFmtId="0" fontId="0" fillId="0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 applyFill="1" applyAlignment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Border="1"/>
    <xf numFmtId="0" fontId="0" fillId="0" borderId="0" xfId="0" applyAlignment="1"/>
    <xf numFmtId="0" fontId="9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0" fontId="7" fillId="6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69" fontId="7" fillId="3" borderId="1" xfId="0" applyNumberFormat="1" applyFont="1" applyFill="1" applyBorder="1" applyAlignment="1">
      <alignment horizontal="center" vertical="center"/>
    </xf>
    <xf numFmtId="169" fontId="7" fillId="4" borderId="1" xfId="0" applyNumberFormat="1" applyFont="1" applyFill="1" applyBorder="1" applyAlignment="1">
      <alignment horizontal="center" vertical="center"/>
    </xf>
    <xf numFmtId="169" fontId="7" fillId="5" borderId="1" xfId="0" applyNumberFormat="1" applyFont="1" applyFill="1" applyBorder="1" applyAlignment="1">
      <alignment horizontal="center" vertical="center"/>
    </xf>
    <xf numFmtId="169" fontId="0" fillId="0" borderId="1" xfId="0" applyNumberFormat="1" applyBorder="1"/>
    <xf numFmtId="170" fontId="0" fillId="0" borderId="1" xfId="0" applyNumberFormat="1" applyBorder="1"/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3" fontId="0" fillId="0" borderId="1" xfId="0" applyNumberFormat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19107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[ApexFinance_Executive_Dashboard.xlsx]Calculations!PivotTable1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Revenue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Calculations!$B$1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Calculations!$A$2:$A$26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Calculations!$B$2:$B$26</c:f>
              <c:numCache>
                <c:formatCode>General</c:formatCode>
                <c:ptCount val="12"/>
                <c:pt idx="0">
                  <c:v>430164855</c:v>
                </c:pt>
                <c:pt idx="1">
                  <c:v>458210182</c:v>
                </c:pt>
                <c:pt idx="2">
                  <c:v>428501201</c:v>
                </c:pt>
                <c:pt idx="3">
                  <c:v>446031618</c:v>
                </c:pt>
                <c:pt idx="4">
                  <c:v>434487003</c:v>
                </c:pt>
                <c:pt idx="5">
                  <c:v>482278718</c:v>
                </c:pt>
                <c:pt idx="6">
                  <c:v>481150800</c:v>
                </c:pt>
                <c:pt idx="7">
                  <c:v>461600306</c:v>
                </c:pt>
                <c:pt idx="8">
                  <c:v>524729869</c:v>
                </c:pt>
                <c:pt idx="9">
                  <c:v>443175820</c:v>
                </c:pt>
                <c:pt idx="10">
                  <c:v>522065321</c:v>
                </c:pt>
                <c:pt idx="11">
                  <c:v>544854005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6-4C94-A964-F1F0DBDEA5D6}"/>
            </c:ext>
          </c:extLst>
        </c:ser>
        <c:ser>
          <c:idx val="1"/>
          <c:order val="1"/>
          <c:tx>
            <c:strRef>
              <c:f>Calculations!$C$1</c:f>
              <c:strCache>
                <c:ptCount val="1"/>
                <c:pt idx="0">
                  <c:v>Sum of total_expenses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Calculations!$A$2:$A$26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Calculations!$C$2:$C$26</c:f>
              <c:numCache>
                <c:formatCode>General</c:formatCode>
                <c:ptCount val="12"/>
                <c:pt idx="0">
                  <c:v>197058658</c:v>
                </c:pt>
                <c:pt idx="1">
                  <c:v>204723283</c:v>
                </c:pt>
                <c:pt idx="2">
                  <c:v>199424272</c:v>
                </c:pt>
                <c:pt idx="3">
                  <c:v>194140966</c:v>
                </c:pt>
                <c:pt idx="4">
                  <c:v>198405649</c:v>
                </c:pt>
                <c:pt idx="5">
                  <c:v>202902499</c:v>
                </c:pt>
                <c:pt idx="6">
                  <c:v>209069579</c:v>
                </c:pt>
                <c:pt idx="7">
                  <c:v>197714783</c:v>
                </c:pt>
                <c:pt idx="8">
                  <c:v>205898710</c:v>
                </c:pt>
                <c:pt idx="9">
                  <c:v>191714742</c:v>
                </c:pt>
                <c:pt idx="10">
                  <c:v>221050093</c:v>
                </c:pt>
                <c:pt idx="11">
                  <c:v>215515624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C6-4C94-A964-F1F0DBDEA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93343"/>
        <c:axId val="110286271"/>
      </c:lineChart>
      <c:catAx>
        <c:axId val="11029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6271"/>
        <c:crosses val="autoZero"/>
        <c:auto val="1"/>
        <c:lblAlgn val="ctr"/>
        <c:lblOffset val="100"/>
        <c:noMultiLvlLbl val="0"/>
      </c:catAx>
      <c:valAx>
        <c:axId val="110286271"/>
        <c:scaling>
          <c:orientation val="minMax"/>
        </c:scaling>
        <c:delete val="0"/>
        <c:axPos val="l"/>
        <c:numFmt formatCode="\₦#,##0.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03779609966332"/>
          <c:y val="0.16872237561213932"/>
          <c:w val="0.29588004796103784"/>
          <c:h val="0.12175409891945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[ApexFinance_Executive_Dashboard.xlsx]Calculations!PivotTable2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Department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258740157480315"/>
          <c:y val="0.28643299795858851"/>
          <c:w val="0.2610518372703412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Calculations!$F$2:$F$10</c:f>
              <c:strCache>
                <c:ptCount val="8"/>
                <c:pt idx="0">
                  <c:v>Sales</c:v>
                </c:pt>
                <c:pt idx="1">
                  <c:v>Operations</c:v>
                </c:pt>
                <c:pt idx="2">
                  <c:v>Marketing</c:v>
                </c:pt>
                <c:pt idx="3">
                  <c:v>Information Technology</c:v>
                </c:pt>
                <c:pt idx="4">
                  <c:v>Finance</c:v>
                </c:pt>
                <c:pt idx="5">
                  <c:v>Research &amp; Development</c:v>
                </c:pt>
                <c:pt idx="6">
                  <c:v>Customer Support</c:v>
                </c:pt>
                <c:pt idx="7">
                  <c:v>Human Resources</c:v>
                </c:pt>
              </c:strCache>
            </c:strRef>
          </c:cat>
          <c:val>
            <c:numRef>
              <c:f>Calculations!$G$2:$G$10</c:f>
              <c:numCache>
                <c:formatCode>General</c:formatCode>
                <c:ptCount val="8"/>
                <c:pt idx="0">
                  <c:v>1568833567</c:v>
                </c:pt>
                <c:pt idx="1">
                  <c:v>839317399</c:v>
                </c:pt>
                <c:pt idx="2">
                  <c:v>263805126</c:v>
                </c:pt>
                <c:pt idx="3">
                  <c:v>172609048</c:v>
                </c:pt>
                <c:pt idx="4">
                  <c:v>129974848</c:v>
                </c:pt>
                <c:pt idx="5">
                  <c:v>117473546</c:v>
                </c:pt>
                <c:pt idx="6">
                  <c:v>106713180</c:v>
                </c:pt>
                <c:pt idx="7">
                  <c:v>20904126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0-4357-884D-314128854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8334655"/>
        <c:axId val="228342143"/>
      </c:barChart>
      <c:catAx>
        <c:axId val="22833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42143"/>
        <c:crosses val="autoZero"/>
        <c:auto val="1"/>
        <c:lblAlgn val="ctr"/>
        <c:lblOffset val="100"/>
        <c:noMultiLvlLbl val="0"/>
      </c:catAx>
      <c:valAx>
        <c:axId val="228342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833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[ApexFinance_Executive_Dashboard.xlsx]Calculations!PivotTable5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Calculations!$K$1</c:f>
              <c:strCache>
                <c:ptCount val="1"/>
                <c:pt idx="0">
                  <c:v>Sum of total_budget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Calculations!$J$2:$J$26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Calculations!$K$2:$K$26</c:f>
              <c:numCache>
                <c:formatCode>General</c:formatCode>
                <c:ptCount val="12"/>
                <c:pt idx="0">
                  <c:v>223958483</c:v>
                </c:pt>
                <c:pt idx="1">
                  <c:v>222013029</c:v>
                </c:pt>
                <c:pt idx="2">
                  <c:v>221307610</c:v>
                </c:pt>
                <c:pt idx="3">
                  <c:v>217877547</c:v>
                </c:pt>
                <c:pt idx="4">
                  <c:v>229040332</c:v>
                </c:pt>
                <c:pt idx="5">
                  <c:v>217395900</c:v>
                </c:pt>
                <c:pt idx="6">
                  <c:v>218396788</c:v>
                </c:pt>
                <c:pt idx="7">
                  <c:v>231782198</c:v>
                </c:pt>
                <c:pt idx="8">
                  <c:v>224179762</c:v>
                </c:pt>
                <c:pt idx="9">
                  <c:v>217875495</c:v>
                </c:pt>
                <c:pt idx="10">
                  <c:v>226072597</c:v>
                </c:pt>
                <c:pt idx="11">
                  <c:v>229321172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9-4C50-ACA3-4DE4BC7B4013}"/>
            </c:ext>
          </c:extLst>
        </c:ser>
        <c:ser>
          <c:idx val="1"/>
          <c:order val="1"/>
          <c:tx>
            <c:strRef>
              <c:f>Calculations!$L$1</c:f>
              <c:strCache>
                <c:ptCount val="1"/>
                <c:pt idx="0">
                  <c:v>Sum of actual_expense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Calculations!$J$2:$J$26</c:f>
              <c:multiLvlStrCache>
                <c:ptCount val="12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Calculations!$L$2:$L$26</c:f>
              <c:numCache>
                <c:formatCode>General</c:formatCode>
                <c:ptCount val="12"/>
                <c:pt idx="0">
                  <c:v>197058658</c:v>
                </c:pt>
                <c:pt idx="1">
                  <c:v>204723283</c:v>
                </c:pt>
                <c:pt idx="2">
                  <c:v>199424272</c:v>
                </c:pt>
                <c:pt idx="3">
                  <c:v>194140966</c:v>
                </c:pt>
                <c:pt idx="4">
                  <c:v>198405649</c:v>
                </c:pt>
                <c:pt idx="5">
                  <c:v>202902499</c:v>
                </c:pt>
                <c:pt idx="6">
                  <c:v>209069579</c:v>
                </c:pt>
                <c:pt idx="7">
                  <c:v>197714783</c:v>
                </c:pt>
                <c:pt idx="8">
                  <c:v>205898710</c:v>
                </c:pt>
                <c:pt idx="9">
                  <c:v>191714742</c:v>
                </c:pt>
                <c:pt idx="10">
                  <c:v>221050093</c:v>
                </c:pt>
                <c:pt idx="11">
                  <c:v>215515624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9-4C50-ACA3-4DE4BC7B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901647"/>
        <c:axId val="229891247"/>
      </c:barChart>
      <c:catAx>
        <c:axId val="22990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91247"/>
        <c:crosses val="autoZero"/>
        <c:auto val="1"/>
        <c:lblAlgn val="ctr"/>
        <c:lblOffset val="100"/>
        <c:noMultiLvlLbl val="0"/>
      </c:catAx>
      <c:valAx>
        <c:axId val="22989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90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[ApexFinance_Executive_Dashboard.xlsx]Calculations!PivotTable6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Calculations!$P$1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E-498F-A187-1DF9E61EE4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6E-498F-A187-1DF9E61EE4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6E-498F-A187-1DF9E61EE4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6E-498F-A187-1DF9E61EE4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6E-498F-A187-1DF9E61EE42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6E-498F-A187-1DF9E61EE42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6E-498F-A187-1DF9E61EE42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76E-498F-A187-1DF9E61EE424}"/>
              </c:ext>
            </c:extLst>
          </c:dPt>
          <c:cat>
            <c:strRef>
              <c:f>Calculations!$O$2:$O$10</c:f>
              <c:strCache>
                <c:ptCount val="8"/>
                <c:pt idx="0">
                  <c:v>Customer Support</c:v>
                </c:pt>
                <c:pt idx="1">
                  <c:v>Finance</c:v>
                </c:pt>
                <c:pt idx="2">
                  <c:v>Human Resources</c:v>
                </c:pt>
                <c:pt idx="3">
                  <c:v>Information Technology</c:v>
                </c:pt>
                <c:pt idx="4">
                  <c:v>Marketing</c:v>
                </c:pt>
                <c:pt idx="5">
                  <c:v>Operations</c:v>
                </c:pt>
                <c:pt idx="6">
                  <c:v>Research &amp; Development</c:v>
                </c:pt>
                <c:pt idx="7">
                  <c:v>Sales</c:v>
                </c:pt>
              </c:strCache>
            </c:strRef>
          </c:cat>
          <c:val>
            <c:numRef>
              <c:f>Calculations!$P$2:$P$10</c:f>
              <c:numCache>
                <c:formatCode>General</c:formatCode>
                <c:ptCount val="8"/>
                <c:pt idx="0">
                  <c:v>162225447</c:v>
                </c:pt>
                <c:pt idx="1">
                  <c:v>176447303</c:v>
                </c:pt>
                <c:pt idx="2">
                  <c:v>60493399</c:v>
                </c:pt>
                <c:pt idx="3">
                  <c:v>222828026</c:v>
                </c:pt>
                <c:pt idx="4">
                  <c:v>252203485</c:v>
                </c:pt>
                <c:pt idx="5">
                  <c:v>607973738</c:v>
                </c:pt>
                <c:pt idx="6">
                  <c:v>123433322</c:v>
                </c:pt>
                <c:pt idx="7">
                  <c:v>832014138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76E-498F-A187-1DF9E61EE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11</xdr:row>
      <xdr:rowOff>175260</xdr:rowOff>
    </xdr:from>
    <xdr:to>
      <xdr:col>7</xdr:col>
      <xdr:colOff>601980</xdr:colOff>
      <xdr:row>30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F24D2-B53D-48A7-9DEB-1DBE6E5FA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7620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923CA-6157-4115-95E7-BDDB17524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15240</xdr:rowOff>
    </xdr:from>
    <xdr:to>
      <xdr:col>8</xdr:col>
      <xdr:colOff>7620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82BDF6-F919-44F4-A5A4-9293BCF0D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22860</xdr:colOff>
      <xdr:row>30</xdr:row>
      <xdr:rowOff>30480</xdr:rowOff>
    </xdr:from>
    <xdr:to>
      <xdr:col>16</xdr:col>
      <xdr:colOff>7620</xdr:colOff>
      <xdr:row>48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A6ED91-744F-4107-AD55-493AB5B6C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VY" refreshedDate="46214.579215046295" createdVersion="7" refreshedVersion="7" minRefreshableVersion="3" recordCount="36" xr:uid="{6F130D76-D361-49E7-8EB8-46BD7CBD853F}">
  <cacheSource type="worksheet">
    <worksheetSource name="monthly_financials"/>
  </cacheSource>
  <cacheFields count="6"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_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_revenue" numFmtId="0">
      <sharedItems containsSemiMixedTypes="0" containsString="0" containsNumber="1" containsInteger="1" minValue="122129103" maxValue="213417754" count="36">
        <n v="132128915"/>
        <n v="153798129"/>
        <n v="127190328"/>
        <n v="140524533"/>
        <n v="141237695"/>
        <n v="145908842"/>
        <n v="146274081"/>
        <n v="122129103"/>
        <n v="151184981"/>
        <n v="136544429"/>
        <n v="140122316"/>
        <n v="169260551"/>
        <n v="152164901"/>
        <n v="143038275"/>
        <n v="157539347"/>
        <n v="144969063"/>
        <n v="130135454"/>
        <n v="163299615"/>
        <n v="166002720"/>
        <n v="162374497"/>
        <n v="174658512"/>
        <n v="144273765"/>
        <n v="168525251"/>
        <n v="170790427"/>
        <n v="145871039"/>
        <n v="161373778"/>
        <n v="143771526"/>
        <n v="160538022"/>
        <n v="163113854"/>
        <n v="173070261"/>
        <n v="168873999"/>
        <n v="177096706"/>
        <n v="198886376"/>
        <n v="162357626"/>
        <n v="213417754"/>
        <n v="204803027"/>
      </sharedItems>
    </cacheField>
    <cacheField name="total_expenses" numFmtId="0">
      <sharedItems containsSemiMixedTypes="0" containsString="0" containsNumber="1" containsInteger="1" minValue="59874478" maxValue="78843490"/>
    </cacheField>
    <cacheField name="total_profit" numFmtId="0">
      <sharedItems containsSemiMixedTypes="0" containsString="0" containsNumber="1" containsInteger="1" minValue="53828884" maxValue="136712352"/>
    </cacheField>
  </cacheFields>
  <extLst>
    <ext xmlns:x14="http://schemas.microsoft.com/office/spreadsheetml/2009/9/main" uri="{725AE2AE-9491-48be-B2B4-4EB974FC3084}">
      <x14:pivotCacheDefinition pivotCacheId="159041621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VY" refreshedDate="46214.60477395833" createdVersion="7" refreshedVersion="7" minRefreshableVersion="3" recordCount="8" xr:uid="{0C3BE2E6-DFD7-4E41-B9FB-315BB8F5AC4E}">
  <cacheSource type="worksheet">
    <worksheetSource name="department_performance"/>
  </cacheSource>
  <cacheFields count="6">
    <cacheField name="department_id" numFmtId="0">
      <sharedItems/>
    </cacheField>
    <cacheField name="department_name" numFmtId="0">
      <sharedItems count="8">
        <s v="Sales"/>
        <s v="Operations"/>
        <s v="Marketing"/>
        <s v="Information Technology"/>
        <s v="Finance"/>
        <s v="Research &amp; Development"/>
        <s v="Customer Support"/>
        <s v="Human Resources"/>
      </sharedItems>
    </cacheField>
    <cacheField name="total_revenue" numFmtId="0">
      <sharedItems containsSemiMixedTypes="0" containsString="0" containsNumber="1" containsInteger="1" minValue="81397525" maxValue="2400847705"/>
    </cacheField>
    <cacheField name="total_expenses" numFmtId="0">
      <sharedItems containsSemiMixedTypes="0" containsString="0" containsNumber="1" containsInteger="1" minValue="60493399" maxValue="832014138"/>
    </cacheField>
    <cacheField name="total_profit" numFmtId="0">
      <sharedItems containsSemiMixedTypes="0" containsString="0" containsNumber="1" containsInteger="1" minValue="20904126" maxValue="1568833567"/>
    </cacheField>
    <cacheField name="profit_margin" numFmtId="0">
      <sharedItems containsSemiMixedTypes="0" containsString="0" containsNumber="1" minValue="25.68" maxValue="65.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VY" refreshedDate="46214.640386689818" createdVersion="7" refreshedVersion="7" minRefreshableVersion="3" recordCount="36" xr:uid="{40EA4EFB-ECC9-4A11-A985-718092B4E161}">
  <cacheSource type="worksheet">
    <worksheetSource name="budget_variance"/>
  </cacheSource>
  <cacheFields count="7">
    <cacheField name="year" numFmtId="0">
      <sharedItems containsSemiMixedTypes="0" containsString="0" containsNumber="1" containsInteger="1" minValue="2023" maxValue="2025"/>
    </cacheField>
    <cacheField name="month_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_budget" numFmtId="0">
      <sharedItems containsSemiMixedTypes="0" containsString="0" containsNumber="1" containsInteger="1" minValue="67204807" maxValue="82224020"/>
    </cacheField>
    <cacheField name="actual_expense" numFmtId="0">
      <sharedItems containsSemiMixedTypes="0" containsString="0" containsNumber="1" containsInteger="1" minValue="59874478" maxValue="78843490"/>
    </cacheField>
    <cacheField name="variance" numFmtId="0">
      <sharedItems containsSemiMixedTypes="0" containsString="0" containsNumber="1" containsInteger="1" minValue="-5708691" maxValue="17069790"/>
    </cacheField>
    <cacheField name="variance_percent" numFmtId="0">
      <sharedItems containsSemiMixedTypes="0" containsString="0" containsNumber="1" minValue="-8.49" maxValue="21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x v="0"/>
    <n v="65443497"/>
    <n v="66685418"/>
  </r>
  <r>
    <x v="0"/>
    <x v="1"/>
    <x v="1"/>
    <x v="1"/>
    <n v="65598420"/>
    <n v="88199709"/>
  </r>
  <r>
    <x v="0"/>
    <x v="2"/>
    <x v="2"/>
    <x v="2"/>
    <n v="73361444"/>
    <n v="53828884"/>
  </r>
  <r>
    <x v="0"/>
    <x v="3"/>
    <x v="3"/>
    <x v="3"/>
    <n v="68495539"/>
    <n v="72028994"/>
  </r>
  <r>
    <x v="0"/>
    <x v="4"/>
    <x v="4"/>
    <x v="4"/>
    <n v="68440596"/>
    <n v="72797099"/>
  </r>
  <r>
    <x v="0"/>
    <x v="5"/>
    <x v="5"/>
    <x v="5"/>
    <n v="67681093"/>
    <n v="78227749"/>
  </r>
  <r>
    <x v="0"/>
    <x v="6"/>
    <x v="6"/>
    <x v="6"/>
    <n v="77182067"/>
    <n v="69092014"/>
  </r>
  <r>
    <x v="0"/>
    <x v="7"/>
    <x v="7"/>
    <x v="7"/>
    <n v="65985278"/>
    <n v="56143825"/>
  </r>
  <r>
    <x v="0"/>
    <x v="8"/>
    <x v="8"/>
    <x v="8"/>
    <n v="68912863"/>
    <n v="82272118"/>
  </r>
  <r>
    <x v="0"/>
    <x v="9"/>
    <x v="9"/>
    <x v="9"/>
    <n v="59874478"/>
    <n v="76669951"/>
  </r>
  <r>
    <x v="0"/>
    <x v="10"/>
    <x v="10"/>
    <x v="10"/>
    <n v="73485517"/>
    <n v="66636799"/>
  </r>
  <r>
    <x v="0"/>
    <x v="11"/>
    <x v="11"/>
    <x v="11"/>
    <n v="71628850"/>
    <n v="97631701"/>
  </r>
  <r>
    <x v="1"/>
    <x v="0"/>
    <x v="0"/>
    <x v="12"/>
    <n v="61945398"/>
    <n v="90219503"/>
  </r>
  <r>
    <x v="1"/>
    <x v="1"/>
    <x v="1"/>
    <x v="13"/>
    <n v="68950101"/>
    <n v="74088174"/>
  </r>
  <r>
    <x v="1"/>
    <x v="2"/>
    <x v="2"/>
    <x v="14"/>
    <n v="64723981"/>
    <n v="92815366"/>
  </r>
  <r>
    <x v="1"/>
    <x v="3"/>
    <x v="3"/>
    <x v="15"/>
    <n v="60865453"/>
    <n v="84103610"/>
  </r>
  <r>
    <x v="1"/>
    <x v="4"/>
    <x v="4"/>
    <x v="16"/>
    <n v="63915859"/>
    <n v="66219595"/>
  </r>
  <r>
    <x v="1"/>
    <x v="5"/>
    <x v="5"/>
    <x v="17"/>
    <n v="72913498"/>
    <n v="90386117"/>
  </r>
  <r>
    <x v="1"/>
    <x v="6"/>
    <x v="6"/>
    <x v="18"/>
    <n v="62629639"/>
    <n v="103373081"/>
  </r>
  <r>
    <x v="1"/>
    <x v="7"/>
    <x v="7"/>
    <x v="19"/>
    <n v="62759425"/>
    <n v="99615072"/>
  </r>
  <r>
    <x v="1"/>
    <x v="8"/>
    <x v="8"/>
    <x v="20"/>
    <n v="70152367"/>
    <n v="104506145"/>
  </r>
  <r>
    <x v="1"/>
    <x v="9"/>
    <x v="9"/>
    <x v="21"/>
    <n v="62130894"/>
    <n v="82142871"/>
  </r>
  <r>
    <x v="1"/>
    <x v="10"/>
    <x v="10"/>
    <x v="22"/>
    <n v="68721086"/>
    <n v="99804165"/>
  </r>
  <r>
    <x v="1"/>
    <x v="11"/>
    <x v="11"/>
    <x v="23"/>
    <n v="75796099"/>
    <n v="94994328"/>
  </r>
  <r>
    <x v="2"/>
    <x v="0"/>
    <x v="0"/>
    <x v="24"/>
    <n v="69669763"/>
    <n v="76201276"/>
  </r>
  <r>
    <x v="2"/>
    <x v="1"/>
    <x v="1"/>
    <x v="25"/>
    <n v="70174762"/>
    <n v="91199016"/>
  </r>
  <r>
    <x v="2"/>
    <x v="2"/>
    <x v="2"/>
    <x v="26"/>
    <n v="61338847"/>
    <n v="82432679"/>
  </r>
  <r>
    <x v="2"/>
    <x v="3"/>
    <x v="3"/>
    <x v="27"/>
    <n v="64779974"/>
    <n v="95758048"/>
  </r>
  <r>
    <x v="2"/>
    <x v="4"/>
    <x v="4"/>
    <x v="28"/>
    <n v="66049194"/>
    <n v="97064660"/>
  </r>
  <r>
    <x v="2"/>
    <x v="5"/>
    <x v="5"/>
    <x v="29"/>
    <n v="62307908"/>
    <n v="110762353"/>
  </r>
  <r>
    <x v="2"/>
    <x v="6"/>
    <x v="6"/>
    <x v="30"/>
    <n v="69257873"/>
    <n v="99616126"/>
  </r>
  <r>
    <x v="2"/>
    <x v="7"/>
    <x v="7"/>
    <x v="31"/>
    <n v="68970080"/>
    <n v="108126626"/>
  </r>
  <r>
    <x v="2"/>
    <x v="8"/>
    <x v="8"/>
    <x v="32"/>
    <n v="66833480"/>
    <n v="132052896"/>
  </r>
  <r>
    <x v="2"/>
    <x v="9"/>
    <x v="9"/>
    <x v="33"/>
    <n v="69709370"/>
    <n v="92648256"/>
  </r>
  <r>
    <x v="2"/>
    <x v="10"/>
    <x v="10"/>
    <x v="34"/>
    <n v="78843490"/>
    <n v="134574264"/>
  </r>
  <r>
    <x v="2"/>
    <x v="11"/>
    <x v="11"/>
    <x v="35"/>
    <n v="68090675"/>
    <n v="1367123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D001"/>
    <x v="0"/>
    <n v="2400847705"/>
    <n v="832014138"/>
    <n v="1568833567"/>
    <n v="65.34"/>
  </r>
  <r>
    <s v="D005"/>
    <x v="1"/>
    <n v="1447291137"/>
    <n v="607973738"/>
    <n v="839317399"/>
    <n v="57.99"/>
  </r>
  <r>
    <s v="D002"/>
    <x v="2"/>
    <n v="516008611"/>
    <n v="252203485"/>
    <n v="263805126"/>
    <n v="51.12"/>
  </r>
  <r>
    <s v="D006"/>
    <x v="3"/>
    <n v="395437074"/>
    <n v="222828026"/>
    <n v="172609048"/>
    <n v="43.65"/>
  </r>
  <r>
    <s v="D003"/>
    <x v="4"/>
    <n v="306422151"/>
    <n v="176447303"/>
    <n v="129974848"/>
    <n v="42.42"/>
  </r>
  <r>
    <s v="D008"/>
    <x v="5"/>
    <n v="240906868"/>
    <n v="123433322"/>
    <n v="117473546"/>
    <n v="48.76"/>
  </r>
  <r>
    <s v="D007"/>
    <x v="6"/>
    <n v="268938627"/>
    <n v="162225447"/>
    <n v="106713180"/>
    <n v="39.68"/>
  </r>
  <r>
    <s v="D004"/>
    <x v="7"/>
    <n v="81397525"/>
    <n v="60493399"/>
    <n v="20904126"/>
    <n v="25.6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3"/>
    <x v="0"/>
    <x v="0"/>
    <n v="74868383"/>
    <n v="65443497"/>
    <n v="9424886"/>
    <n v="12.59"/>
  </r>
  <r>
    <n v="2023"/>
    <x v="1"/>
    <x v="1"/>
    <n v="76685486"/>
    <n v="65598420"/>
    <n v="11087066"/>
    <n v="14.46"/>
  </r>
  <r>
    <n v="2023"/>
    <x v="2"/>
    <x v="2"/>
    <n v="69950661"/>
    <n v="73361444"/>
    <n v="-3410783"/>
    <n v="-4.88"/>
  </r>
  <r>
    <n v="2023"/>
    <x v="3"/>
    <x v="3"/>
    <n v="75184823"/>
    <n v="68495539"/>
    <n v="6689284"/>
    <n v="8.9"/>
  </r>
  <r>
    <n v="2023"/>
    <x v="4"/>
    <x v="4"/>
    <n v="81792810"/>
    <n v="68440596"/>
    <n v="13352214"/>
    <n v="16.32"/>
  </r>
  <r>
    <n v="2023"/>
    <x v="5"/>
    <x v="5"/>
    <n v="70813395"/>
    <n v="67681093"/>
    <n v="3132302"/>
    <n v="4.42"/>
  </r>
  <r>
    <n v="2023"/>
    <x v="6"/>
    <x v="6"/>
    <n v="77411071"/>
    <n v="77182067"/>
    <n v="229004"/>
    <n v="0.3"/>
  </r>
  <r>
    <n v="2023"/>
    <x v="7"/>
    <x v="7"/>
    <n v="74869164"/>
    <n v="65985278"/>
    <n v="8883886"/>
    <n v="11.87"/>
  </r>
  <r>
    <n v="2023"/>
    <x v="8"/>
    <x v="8"/>
    <n v="75668775"/>
    <n v="68912863"/>
    <n v="6755912"/>
    <n v="8.93"/>
  </r>
  <r>
    <n v="2023"/>
    <x v="9"/>
    <x v="9"/>
    <n v="70788866"/>
    <n v="59874478"/>
    <n v="10914388"/>
    <n v="15.42"/>
  </r>
  <r>
    <n v="2023"/>
    <x v="10"/>
    <x v="10"/>
    <n v="74766189"/>
    <n v="73485517"/>
    <n v="1280672"/>
    <n v="1.71"/>
  </r>
  <r>
    <n v="2023"/>
    <x v="11"/>
    <x v="11"/>
    <n v="77924532"/>
    <n v="71628850"/>
    <n v="6295682"/>
    <n v="8.08"/>
  </r>
  <r>
    <n v="2024"/>
    <x v="0"/>
    <x v="0"/>
    <n v="68526584"/>
    <n v="61945398"/>
    <n v="6581186"/>
    <n v="9.6"/>
  </r>
  <r>
    <n v="2024"/>
    <x v="1"/>
    <x v="1"/>
    <n v="72293163"/>
    <n v="68950101"/>
    <n v="3343062"/>
    <n v="4.62"/>
  </r>
  <r>
    <n v="2024"/>
    <x v="2"/>
    <x v="2"/>
    <n v="75909959"/>
    <n v="64723981"/>
    <n v="11185978"/>
    <n v="14.74"/>
  </r>
  <r>
    <n v="2024"/>
    <x v="3"/>
    <x v="3"/>
    <n v="68110810"/>
    <n v="60865453"/>
    <n v="7245357"/>
    <n v="10.64"/>
  </r>
  <r>
    <n v="2024"/>
    <x v="4"/>
    <x v="4"/>
    <n v="73647892"/>
    <n v="63915859"/>
    <n v="9732033"/>
    <n v="13.21"/>
  </r>
  <r>
    <n v="2024"/>
    <x v="5"/>
    <x v="5"/>
    <n v="67204807"/>
    <n v="72913498"/>
    <n v="-5708691"/>
    <n v="-8.49"/>
  </r>
  <r>
    <n v="2024"/>
    <x v="6"/>
    <x v="6"/>
    <n v="71660437"/>
    <n v="62629639"/>
    <n v="9030798"/>
    <n v="12.6"/>
  </r>
  <r>
    <n v="2024"/>
    <x v="7"/>
    <x v="7"/>
    <n v="74689014"/>
    <n v="62759425"/>
    <n v="11929589"/>
    <n v="15.97"/>
  </r>
  <r>
    <n v="2024"/>
    <x v="8"/>
    <x v="8"/>
    <n v="74852606"/>
    <n v="70152367"/>
    <n v="4700239"/>
    <n v="6.28"/>
  </r>
  <r>
    <n v="2024"/>
    <x v="9"/>
    <x v="9"/>
    <n v="72641679"/>
    <n v="62130894"/>
    <n v="10510785"/>
    <n v="14.47"/>
  </r>
  <r>
    <n v="2024"/>
    <x v="10"/>
    <x v="10"/>
    <n v="74242404"/>
    <n v="68721086"/>
    <n v="5521318"/>
    <n v="7.44"/>
  </r>
  <r>
    <n v="2024"/>
    <x v="11"/>
    <x v="11"/>
    <n v="78110466"/>
    <n v="75796099"/>
    <n v="2314367"/>
    <n v="2.96"/>
  </r>
  <r>
    <n v="2025"/>
    <x v="0"/>
    <x v="0"/>
    <n v="80563516"/>
    <n v="69669763"/>
    <n v="10893753"/>
    <n v="13.52"/>
  </r>
  <r>
    <n v="2025"/>
    <x v="1"/>
    <x v="1"/>
    <n v="73034380"/>
    <n v="70174762"/>
    <n v="2859618"/>
    <n v="3.92"/>
  </r>
  <r>
    <n v="2025"/>
    <x v="2"/>
    <x v="2"/>
    <n v="75446990"/>
    <n v="61338847"/>
    <n v="14108143"/>
    <n v="18.7"/>
  </r>
  <r>
    <n v="2025"/>
    <x v="3"/>
    <x v="3"/>
    <n v="74581914"/>
    <n v="64779974"/>
    <n v="9801940"/>
    <n v="13.14"/>
  </r>
  <r>
    <n v="2025"/>
    <x v="4"/>
    <x v="4"/>
    <n v="73599630"/>
    <n v="66049194"/>
    <n v="7550436"/>
    <n v="10.26"/>
  </r>
  <r>
    <n v="2025"/>
    <x v="5"/>
    <x v="5"/>
    <n v="79377698"/>
    <n v="62307908"/>
    <n v="17069790"/>
    <n v="21.5"/>
  </r>
  <r>
    <n v="2025"/>
    <x v="6"/>
    <x v="6"/>
    <n v="69325280"/>
    <n v="69257873"/>
    <n v="67407"/>
    <n v="0.1"/>
  </r>
  <r>
    <n v="2025"/>
    <x v="7"/>
    <x v="7"/>
    <n v="82224020"/>
    <n v="68970080"/>
    <n v="13253940"/>
    <n v="16.12"/>
  </r>
  <r>
    <n v="2025"/>
    <x v="8"/>
    <x v="8"/>
    <n v="73658381"/>
    <n v="66833480"/>
    <n v="6824901"/>
    <n v="9.27"/>
  </r>
  <r>
    <n v="2025"/>
    <x v="9"/>
    <x v="9"/>
    <n v="74444950"/>
    <n v="69709370"/>
    <n v="4735580"/>
    <n v="6.36"/>
  </r>
  <r>
    <n v="2025"/>
    <x v="10"/>
    <x v="10"/>
    <n v="77064004"/>
    <n v="78843490"/>
    <n v="-1779486"/>
    <n v="-2.31"/>
  </r>
  <r>
    <n v="2025"/>
    <x v="11"/>
    <x v="11"/>
    <n v="73286174"/>
    <n v="68090675"/>
    <n v="5195499"/>
    <n v="7.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E6087-EAF3-4630-A8D7-F31CE2F54684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:B21" firstHeaderRow="1" firstDataRow="1" firstDataCol="1"/>
  <pivotFields count="6">
    <pivotField showAll="0"/>
    <pivotField axis="axisRow" showAll="0" sortType="descending">
      <items count="9">
        <item x="6"/>
        <item x="4"/>
        <item x="7"/>
        <item x="3"/>
        <item x="2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9">
    <i>
      <x v="7"/>
    </i>
    <i>
      <x v="5"/>
    </i>
    <i>
      <x v="4"/>
    </i>
    <i>
      <x v="3"/>
    </i>
    <i>
      <x v="1"/>
    </i>
    <i>
      <x v="6"/>
    </i>
    <i>
      <x/>
    </i>
    <i>
      <x v="2"/>
    </i>
    <i t="grand">
      <x/>
    </i>
  </rowItems>
  <colItems count="1">
    <i/>
  </colItems>
  <dataFields count="1">
    <dataField name="Sum of total_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34AB9-1E6F-4C39-884F-DE54A7620830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O1:P10" firstHeaderRow="1" firstDataRow="1" firstDataCol="1"/>
  <pivotFields count="6">
    <pivotField showAll="0"/>
    <pivotField axis="axisRow" showAll="0">
      <items count="9">
        <item x="6"/>
        <item x="4"/>
        <item x="7"/>
        <item x="3"/>
        <item x="2"/>
        <item x="1"/>
        <item x="5"/>
        <item x="0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expenses" fld="3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065C3-6238-4A5A-BF62-365B8FBBF48A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J1:L26" firstHeaderRow="0" firstDataRow="1" firstDataCol="1"/>
  <pivotFields count="7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</pivotFields>
  <rowFields count="2">
    <field x="1"/>
    <field x="2"/>
  </rowFields>
  <rowItems count="2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budget" fld="3" baseField="0" baseItem="0"/>
    <dataField name="Sum of actual_expense" fld="4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421DA-6D4E-4AD7-9C38-E0A6AA4C5CBB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F1:G10" firstHeaderRow="1" firstDataRow="1" firstDataCol="1"/>
  <pivotFields count="6">
    <pivotField showAll="0"/>
    <pivotField axis="axisRow" showAll="0" sortType="descending">
      <items count="9">
        <item x="6"/>
        <item x="4"/>
        <item x="7"/>
        <item x="3"/>
        <item x="2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9">
    <i>
      <x v="7"/>
    </i>
    <i>
      <x v="5"/>
    </i>
    <i>
      <x v="4"/>
    </i>
    <i>
      <x v="3"/>
    </i>
    <i>
      <x v="1"/>
    </i>
    <i>
      <x v="6"/>
    </i>
    <i>
      <x/>
    </i>
    <i>
      <x v="2"/>
    </i>
    <i t="grand">
      <x/>
    </i>
  </rowItems>
  <colItems count="1">
    <i/>
  </colItems>
  <dataFields count="1">
    <dataField name="Sum of total_profit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46B69-45AE-4EB5-9E54-61BC3D9BB71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1:C26" firstHeaderRow="0" firstDataRow="1" firstDataCol="1"/>
  <pivotFields count="6"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37">
        <item x="7"/>
        <item x="2"/>
        <item x="16"/>
        <item x="0"/>
        <item x="9"/>
        <item x="10"/>
        <item x="3"/>
        <item x="4"/>
        <item x="13"/>
        <item x="26"/>
        <item x="21"/>
        <item x="15"/>
        <item x="24"/>
        <item x="5"/>
        <item x="6"/>
        <item x="8"/>
        <item x="12"/>
        <item x="1"/>
        <item x="14"/>
        <item x="27"/>
        <item x="25"/>
        <item x="33"/>
        <item x="19"/>
        <item x="28"/>
        <item x="17"/>
        <item x="18"/>
        <item x="22"/>
        <item x="30"/>
        <item x="11"/>
        <item x="23"/>
        <item x="29"/>
        <item x="20"/>
        <item x="31"/>
        <item x="32"/>
        <item x="35"/>
        <item x="34"/>
        <item t="default"/>
      </items>
    </pivotField>
    <pivotField dataField="1" showAll="0"/>
    <pivotField showAll="0"/>
  </pivotFields>
  <rowFields count="2">
    <field x="1"/>
    <field x="2"/>
  </rowFields>
  <rowItems count="2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total_expenses" fld="4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638DA79-C6B1-4935-B360-FAB085DEBF6F}" autoFormatId="16" applyNumberFormats="0" applyBorderFormats="0" applyFontFormats="0" applyPatternFormats="0" applyAlignmentFormats="0" applyWidthHeightFormats="0">
  <queryTableRefresh nextId="5">
    <queryTableFields count="4">
      <queryTableField id="1" name="total_revenue" tableColumnId="1"/>
      <queryTableField id="2" name="total_expenses" tableColumnId="2"/>
      <queryTableField id="3" name="total_profit" tableColumnId="3"/>
      <queryTableField id="4" name="profit_margi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2E1B50-7327-424A-8CD2-5778753AB12B}" autoFormatId="16" applyNumberFormats="0" applyBorderFormats="0" applyFontFormats="0" applyPatternFormats="0" applyAlignmentFormats="0" applyWidthHeightFormats="0">
  <queryTableRefresh nextId="7">
    <queryTableFields count="6">
      <queryTableField id="1" name="department_id" tableColumnId="1"/>
      <queryTableField id="2" name="department_name" tableColumnId="2"/>
      <queryTableField id="3" name="total_revenue" tableColumnId="3"/>
      <queryTableField id="4" name="total_expenses" tableColumnId="4"/>
      <queryTableField id="5" name="total_profit" tableColumnId="5"/>
      <queryTableField id="6" name="profit_margin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5A52A91-8F27-44D5-B19A-81F9DC2B3245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onth_number" tableColumnId="2"/>
      <queryTableField id="3" name="month_name" tableColumnId="3"/>
      <queryTableField id="4" name="total_revenue" tableColumnId="4"/>
      <queryTableField id="5" name="total_expenses" tableColumnId="5"/>
      <queryTableField id="6" name="total_profi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73516A-AE15-48D2-A459-EBF319901589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month_number" tableColumnId="2"/>
      <queryTableField id="3" name="month_name" tableColumnId="3"/>
      <queryTableField id="4" name="total_budget" tableColumnId="4"/>
      <queryTableField id="5" name="actual_expense" tableColumnId="5"/>
      <queryTableField id="6" name="variance" tableColumnId="6"/>
      <queryTableField id="7" name="variance_perce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44EE09-43DB-43E3-B984-C2DFEE4EC113}" name="kpi_summary" displayName="kpi_summary" ref="A1:D2" tableType="queryTable" totalsRowShown="0">
  <autoFilter ref="A1:D2" xr:uid="{2844EE09-43DB-43E3-B984-C2DFEE4EC113}"/>
  <tableColumns count="4">
    <tableColumn id="1" xr3:uid="{CEB08616-65AC-41D3-85B1-1E0C0B286BB3}" uniqueName="1" name="total_revenue" queryTableFieldId="1"/>
    <tableColumn id="2" xr3:uid="{9E8F4BC2-E96F-41F4-959A-B607FB36A513}" uniqueName="2" name="total_expenses" queryTableFieldId="2"/>
    <tableColumn id="3" xr3:uid="{0E52ED3D-82CC-42DA-8FEF-8D80730867BF}" uniqueName="3" name="total_profit" queryTableFieldId="3"/>
    <tableColumn id="4" xr3:uid="{C11EB329-9947-4321-BDC3-4FE1E9A6A39B}" uniqueName="4" name="profit_margi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582BAC-D44C-4E0B-903A-A824D053CE54}" name="department_performance" displayName="department_performance" ref="A1:F9" tableType="queryTable" totalsRowShown="0">
  <autoFilter ref="A1:F9" xr:uid="{8B582BAC-D44C-4E0B-903A-A824D053CE54}"/>
  <tableColumns count="6">
    <tableColumn id="1" xr3:uid="{A6AB2595-19B0-4E2B-94FB-204E35C7D192}" uniqueName="1" name="department_id" queryTableFieldId="1" dataDxfId="4"/>
    <tableColumn id="2" xr3:uid="{F12DFDD9-05F7-477C-992E-6C26FA581D86}" uniqueName="2" name="department_name" queryTableFieldId="2" dataDxfId="3"/>
    <tableColumn id="3" xr3:uid="{55E9E4B4-8E74-48FC-9421-977399029E0F}" uniqueName="3" name="total_revenue" queryTableFieldId="3"/>
    <tableColumn id="4" xr3:uid="{B9A82171-2E47-4B1F-B040-33D25C938C3C}" uniqueName="4" name="total_expenses" queryTableFieldId="4"/>
    <tableColumn id="5" xr3:uid="{A4F9DD2D-600F-4B81-9357-D37E04CE7F69}" uniqueName="5" name="total_profit" queryTableFieldId="5"/>
    <tableColumn id="6" xr3:uid="{B6A49E03-F2A4-4457-AA17-6B634043390C}" uniqueName="6" name="profit_margin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50A0FD-342E-467D-ACCA-37BE1B150344}" name="monthly_financials" displayName="monthly_financials" ref="A1:F37" tableType="queryTable" totalsRowShown="0">
  <autoFilter ref="A1:F37" xr:uid="{8650A0FD-342E-467D-ACCA-37BE1B150344}"/>
  <tableColumns count="6">
    <tableColumn id="1" xr3:uid="{3A98DBB5-E106-4EDB-A9E0-69E5DFD5AF68}" uniqueName="1" name="year" queryTableFieldId="1"/>
    <tableColumn id="2" xr3:uid="{5D088473-A315-4A84-A3F0-18422E0562A3}" uniqueName="2" name="month_number" queryTableFieldId="2"/>
    <tableColumn id="3" xr3:uid="{0A643B64-AD62-4BDA-9A42-9BC680BE8DDB}" uniqueName="3" name="month_name" queryTableFieldId="3" dataDxfId="2"/>
    <tableColumn id="4" xr3:uid="{E3671B44-B5C7-4B82-B30F-69D155BA1950}" uniqueName="4" name="total_revenue" queryTableFieldId="4"/>
    <tableColumn id="5" xr3:uid="{748D81F9-6339-4C9B-9961-C1C5218C1B73}" uniqueName="5" name="total_expenses" queryTableFieldId="5"/>
    <tableColumn id="6" xr3:uid="{84DB9CF8-2BB3-4FCC-8A58-92F38D0016FF}" uniqueName="6" name="total_profit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7A8B3C-A83C-4CBA-A4D0-758400B4E158}" name="budget_variance" displayName="budget_variance" ref="A1:G37" tableType="queryTable" totalsRowShown="0">
  <autoFilter ref="A1:G37" xr:uid="{C37A8B3C-A83C-4CBA-A4D0-758400B4E158}"/>
  <tableColumns count="7">
    <tableColumn id="1" xr3:uid="{94E0B394-CE8C-484E-8379-B8A212DDA34F}" uniqueName="1" name="year" queryTableFieldId="1"/>
    <tableColumn id="2" xr3:uid="{B4900D1A-3785-4343-A141-CF9EB024E568}" uniqueName="2" name="month_number" queryTableFieldId="2"/>
    <tableColumn id="3" xr3:uid="{37E0553F-0235-475A-A504-C6A8A4DD4945}" uniqueName="3" name="month_name" queryTableFieldId="3" dataDxfId="1"/>
    <tableColumn id="4" xr3:uid="{27FB702E-0033-4B8E-B7FF-31DDB85346A0}" uniqueName="4" name="total_budget" queryTableFieldId="4"/>
    <tableColumn id="5" xr3:uid="{3B86FE30-788F-4723-8174-02CE41DE5320}" uniqueName="5" name="actual_expense" queryTableFieldId="5"/>
    <tableColumn id="6" xr3:uid="{D7C378F2-1819-4E5A-9236-379E534706D8}" uniqueName="6" name="variance" queryTableFieldId="6"/>
    <tableColumn id="7" xr3:uid="{07227FF8-0041-4327-BD2A-26DC3543B020}" uniqueName="7" name="variance_perce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5"/>
  <sheetViews>
    <sheetView showGridLines="0" tabSelected="1" zoomScale="55" zoomScaleNormal="55" workbookViewId="0">
      <selection activeCell="F67" sqref="F67"/>
    </sheetView>
  </sheetViews>
  <sheetFormatPr defaultRowHeight="14.4"/>
  <cols>
    <col min="1" max="3" width="10.44140625" customWidth="1"/>
    <col min="4" max="4" width="13.109375" bestFit="1" customWidth="1"/>
  </cols>
  <sheetData>
    <row r="1" spans="1:16">
      <c r="A1" s="16" t="s">
        <v>42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8" customHeight="1">
      <c r="A4" s="17" t="s">
        <v>47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 t="s">
        <v>48</v>
      </c>
      <c r="P4" s="18"/>
    </row>
    <row r="5" spans="1:16" ht="14.4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8"/>
      <c r="P5" s="18"/>
    </row>
    <row r="6" spans="1:16" ht="15.6">
      <c r="A6" s="5"/>
      <c r="B6" s="22" t="s">
        <v>43</v>
      </c>
      <c r="C6" s="22"/>
      <c r="D6" s="9"/>
      <c r="E6" s="9"/>
      <c r="F6" s="22" t="s">
        <v>44</v>
      </c>
      <c r="G6" s="22"/>
      <c r="H6" s="9"/>
      <c r="I6" s="9"/>
      <c r="J6" s="22" t="s">
        <v>45</v>
      </c>
      <c r="K6" s="22"/>
      <c r="L6" s="9"/>
      <c r="M6" s="9"/>
      <c r="N6" s="22" t="s">
        <v>46</v>
      </c>
      <c r="O6" s="22"/>
      <c r="P6" s="3"/>
    </row>
    <row r="7" spans="1:16">
      <c r="A7" s="26">
        <f>'KPI Summary'!A2</f>
        <v>5657249698</v>
      </c>
      <c r="B7" s="26"/>
      <c r="C7" s="26"/>
      <c r="D7" s="26"/>
      <c r="E7" s="27">
        <f>'KPI Summary'!B2</f>
        <v>2437618858</v>
      </c>
      <c r="F7" s="27"/>
      <c r="G7" s="27"/>
      <c r="H7" s="27"/>
      <c r="I7" s="28">
        <f>'KPI Summary'!C2</f>
        <v>3219630840</v>
      </c>
      <c r="J7" s="28"/>
      <c r="K7" s="28"/>
      <c r="L7" s="28"/>
      <c r="M7" s="21">
        <f>'KPI Summary'!D2/100</f>
        <v>0.56909999999999994</v>
      </c>
      <c r="N7" s="21"/>
      <c r="O7" s="21"/>
      <c r="P7" s="21"/>
    </row>
    <row r="8" spans="1:16">
      <c r="A8" s="26"/>
      <c r="B8" s="26"/>
      <c r="C8" s="26"/>
      <c r="D8" s="26"/>
      <c r="E8" s="27"/>
      <c r="F8" s="27"/>
      <c r="G8" s="27"/>
      <c r="H8" s="27"/>
      <c r="I8" s="28"/>
      <c r="J8" s="28"/>
      <c r="K8" s="28"/>
      <c r="L8" s="28"/>
      <c r="M8" s="21"/>
      <c r="N8" s="21"/>
      <c r="O8" s="21"/>
      <c r="P8" s="21"/>
    </row>
    <row r="9" spans="1:16">
      <c r="A9" s="26"/>
      <c r="B9" s="26"/>
      <c r="C9" s="26"/>
      <c r="D9" s="26"/>
      <c r="E9" s="27"/>
      <c r="F9" s="27"/>
      <c r="G9" s="27"/>
      <c r="H9" s="27"/>
      <c r="I9" s="28"/>
      <c r="J9" s="28"/>
      <c r="K9" s="28"/>
      <c r="L9" s="28"/>
      <c r="M9" s="21"/>
      <c r="N9" s="21"/>
      <c r="O9" s="21"/>
      <c r="P9" s="21"/>
    </row>
    <row r="10" spans="1:16">
      <c r="A10" s="26"/>
      <c r="B10" s="26"/>
      <c r="C10" s="26"/>
      <c r="D10" s="26"/>
      <c r="E10" s="27"/>
      <c r="F10" s="27"/>
      <c r="G10" s="27"/>
      <c r="H10" s="27"/>
      <c r="I10" s="28"/>
      <c r="J10" s="28"/>
      <c r="K10" s="28"/>
      <c r="L10" s="28"/>
      <c r="M10" s="21"/>
      <c r="N10" s="21"/>
      <c r="O10" s="21"/>
      <c r="P10" s="21"/>
    </row>
    <row r="11" spans="1:16">
      <c r="A11" s="26"/>
      <c r="B11" s="26"/>
      <c r="C11" s="26"/>
      <c r="D11" s="26"/>
      <c r="E11" s="27"/>
      <c r="F11" s="27"/>
      <c r="G11" s="27"/>
      <c r="H11" s="27"/>
      <c r="I11" s="28"/>
      <c r="J11" s="28"/>
      <c r="K11" s="28"/>
      <c r="L11" s="28"/>
      <c r="M11" s="21"/>
      <c r="N11" s="21"/>
      <c r="O11" s="21"/>
      <c r="P11" s="21"/>
    </row>
    <row r="14" spans="1:16">
      <c r="J14" s="2"/>
      <c r="K14" s="2"/>
    </row>
    <row r="15" spans="1:16">
      <c r="J15" s="2"/>
      <c r="K15" s="2"/>
    </row>
    <row r="24" spans="12:12" ht="28.8">
      <c r="L24" s="4"/>
    </row>
    <row r="50" spans="1:4" ht="18" customHeight="1">
      <c r="A50" s="19" t="s">
        <v>57</v>
      </c>
      <c r="B50" s="19"/>
      <c r="C50" s="19"/>
      <c r="D50" s="19"/>
    </row>
    <row r="51" spans="1:4">
      <c r="A51" s="19"/>
      <c r="B51" s="19"/>
      <c r="C51" s="19"/>
      <c r="D51" s="19"/>
    </row>
    <row r="52" spans="1:4">
      <c r="A52" s="10" t="s">
        <v>58</v>
      </c>
      <c r="B52" s="20" t="s">
        <v>56</v>
      </c>
      <c r="C52" s="20"/>
      <c r="D52" s="10" t="s">
        <v>45</v>
      </c>
    </row>
    <row r="53" spans="1:4">
      <c r="A53" s="11">
        <v>1</v>
      </c>
      <c r="B53" s="23" t="s">
        <v>7</v>
      </c>
      <c r="C53" s="23"/>
      <c r="D53" s="29">
        <v>1568833567</v>
      </c>
    </row>
    <row r="54" spans="1:4">
      <c r="A54" s="11">
        <v>2</v>
      </c>
      <c r="B54" s="23" t="s">
        <v>9</v>
      </c>
      <c r="C54" s="23"/>
      <c r="D54" s="30">
        <v>839317399</v>
      </c>
    </row>
    <row r="55" spans="1:4">
      <c r="A55" s="12">
        <v>3</v>
      </c>
      <c r="B55" s="23" t="s">
        <v>11</v>
      </c>
      <c r="C55" s="23"/>
      <c r="D55" s="30">
        <v>263805126</v>
      </c>
    </row>
    <row r="56" spans="1:4">
      <c r="A56" s="11">
        <v>4</v>
      </c>
      <c r="B56" s="23" t="s">
        <v>13</v>
      </c>
      <c r="C56" s="23"/>
      <c r="D56" s="30">
        <v>172609048</v>
      </c>
    </row>
    <row r="57" spans="1:4">
      <c r="A57" s="11">
        <v>5</v>
      </c>
      <c r="B57" s="23" t="s">
        <v>15</v>
      </c>
      <c r="C57" s="23"/>
      <c r="D57" s="30">
        <v>129974848</v>
      </c>
    </row>
    <row r="147" spans="4:8">
      <c r="D147" s="13"/>
      <c r="E147" s="13"/>
      <c r="F147" s="13"/>
      <c r="G147" s="13"/>
      <c r="H147" s="13"/>
    </row>
    <row r="148" spans="4:8">
      <c r="D148" s="13"/>
      <c r="E148" s="13"/>
      <c r="F148" s="13"/>
      <c r="G148" s="13"/>
      <c r="H148" s="13"/>
    </row>
    <row r="149" spans="4:8">
      <c r="D149" s="13"/>
      <c r="E149" s="13"/>
      <c r="F149" s="13"/>
      <c r="G149" s="13"/>
      <c r="H149" s="13"/>
    </row>
    <row r="150" spans="4:8">
      <c r="D150" s="13"/>
      <c r="E150" s="13"/>
      <c r="F150" s="13"/>
      <c r="G150" s="13"/>
      <c r="H150" s="13"/>
    </row>
    <row r="151" spans="4:8">
      <c r="D151" s="13"/>
      <c r="E151" s="13"/>
      <c r="F151" s="13"/>
      <c r="G151" s="13"/>
      <c r="H151" s="13"/>
    </row>
    <row r="152" spans="4:8">
      <c r="D152" s="13"/>
      <c r="E152" s="13"/>
      <c r="F152" s="13"/>
      <c r="G152" s="13"/>
      <c r="H152" s="13"/>
    </row>
    <row r="153" spans="4:8">
      <c r="D153" s="13"/>
      <c r="E153" s="13"/>
      <c r="F153" s="13"/>
      <c r="G153" s="13"/>
      <c r="H153" s="13"/>
    </row>
    <row r="154" spans="4:8">
      <c r="D154" s="13"/>
      <c r="E154" s="13"/>
      <c r="F154" s="13"/>
      <c r="G154" s="13"/>
      <c r="H154" s="13"/>
    </row>
    <row r="155" spans="4:8">
      <c r="D155" s="13"/>
      <c r="E155" s="13"/>
      <c r="F155" s="13"/>
      <c r="G155" s="13"/>
      <c r="H155" s="13"/>
    </row>
  </sheetData>
  <mergeCells count="18">
    <mergeCell ref="B57:C57"/>
    <mergeCell ref="B56:C56"/>
    <mergeCell ref="B55:C55"/>
    <mergeCell ref="B54:C54"/>
    <mergeCell ref="B53:C53"/>
    <mergeCell ref="A1:P3"/>
    <mergeCell ref="A4:N5"/>
    <mergeCell ref="O4:P5"/>
    <mergeCell ref="A50:D51"/>
    <mergeCell ref="B52:C52"/>
    <mergeCell ref="A7:D11"/>
    <mergeCell ref="E7:H11"/>
    <mergeCell ref="I7:L11"/>
    <mergeCell ref="M7:P11"/>
    <mergeCell ref="F6:G6"/>
    <mergeCell ref="J6:K6"/>
    <mergeCell ref="N6:O6"/>
    <mergeCell ref="B6:C6"/>
  </mergeCells>
  <conditionalFormatting sqref="A50 A52:B52 A53:A55">
    <cfRule type="top10" dxfId="0" priority="1" percent="1" rank="10"/>
  </conditionalFormatting>
  <pageMargins left="0.25" right="0.25" top="0.75" bottom="0.75" header="0.3" footer="0.3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E7CA-D1A6-4366-9838-15C86EE4C552}">
  <dimension ref="A1:I11"/>
  <sheetViews>
    <sheetView workbookViewId="0">
      <selection activeCell="I29" sqref="I29"/>
    </sheetView>
  </sheetViews>
  <sheetFormatPr defaultRowHeight="14.4"/>
  <sheetData>
    <row r="1" spans="1:9">
      <c r="A1" s="32" t="s">
        <v>41</v>
      </c>
      <c r="B1" s="32"/>
      <c r="C1" s="32"/>
      <c r="D1" s="32"/>
      <c r="E1" s="32"/>
      <c r="F1" s="32"/>
      <c r="G1" s="32"/>
      <c r="H1" s="32"/>
      <c r="I1" s="32"/>
    </row>
    <row r="2" spans="1:9">
      <c r="A2" s="32"/>
      <c r="B2" s="32"/>
      <c r="C2" s="32"/>
      <c r="D2" s="32"/>
      <c r="E2" s="32"/>
      <c r="F2" s="32"/>
      <c r="G2" s="32"/>
      <c r="H2" s="32"/>
      <c r="I2" s="32"/>
    </row>
    <row r="3" spans="1:9">
      <c r="A3" s="23" t="s">
        <v>59</v>
      </c>
      <c r="B3" s="23"/>
      <c r="C3" s="23"/>
      <c r="D3" s="23"/>
      <c r="E3" s="23"/>
      <c r="F3" s="23"/>
      <c r="G3" s="23"/>
      <c r="H3" s="23"/>
      <c r="I3" s="23"/>
    </row>
    <row r="4" spans="1:9">
      <c r="A4" s="31" t="s">
        <v>60</v>
      </c>
      <c r="B4" s="31"/>
      <c r="C4" s="31" t="s">
        <v>7</v>
      </c>
      <c r="D4" s="31"/>
      <c r="F4" s="31" t="s">
        <v>62</v>
      </c>
      <c r="G4" s="31"/>
      <c r="H4" s="31">
        <v>2025</v>
      </c>
      <c r="I4" s="31"/>
    </row>
    <row r="5" spans="1:9">
      <c r="A5" s="23" t="s">
        <v>67</v>
      </c>
      <c r="B5" s="23"/>
      <c r="C5" s="33">
        <f>IFERROR(_xlfn.XLOOKUP(C4,department_performance[department_name],department_performance[total_revenue]),"Select Department")</f>
        <v>2400847705</v>
      </c>
      <c r="D5" s="33"/>
      <c r="F5" s="23" t="s">
        <v>63</v>
      </c>
      <c r="G5" s="23"/>
      <c r="H5" s="33">
        <f>IFERROR(SUMIFS(monthly_financials[total_revenue],monthly_financials[year],H4),0)</f>
        <v>2073173968</v>
      </c>
      <c r="I5" s="33"/>
    </row>
    <row r="6" spans="1:9">
      <c r="A6" s="23" t="s">
        <v>68</v>
      </c>
      <c r="B6" s="23"/>
      <c r="C6" s="33">
        <f>IFERROR(_xlfn.XLOOKUP(C4,department_performance[department_name],department_performance[total_expenses]),"Select Department")</f>
        <v>832014138</v>
      </c>
      <c r="D6" s="33"/>
      <c r="F6" s="23" t="s">
        <v>64</v>
      </c>
      <c r="G6" s="23"/>
      <c r="H6" s="33">
        <f>IFERROR(SUMIFS(monthly_financials[total_expenses],monthly_financials[year],H4),0)</f>
        <v>816025416</v>
      </c>
      <c r="I6" s="33"/>
    </row>
    <row r="7" spans="1:9">
      <c r="A7" s="23" t="s">
        <v>45</v>
      </c>
      <c r="B7" s="23"/>
      <c r="C7" s="33">
        <f>IFERROR(_xlfn.XLOOKUP(C4,department_performance[department_name],department_performance[total_profit]),"Select Department")</f>
        <v>1568833567</v>
      </c>
      <c r="D7" s="33"/>
      <c r="F7" s="23" t="s">
        <v>65</v>
      </c>
      <c r="G7" s="23"/>
      <c r="H7" s="33">
        <f>IFERROR(SUMIFS(monthly_financials[total_profit],monthly_financials[year],H4),0)</f>
        <v>1257148552</v>
      </c>
      <c r="I7" s="33"/>
    </row>
    <row r="8" spans="1:9">
      <c r="A8" s="25" t="s">
        <v>61</v>
      </c>
      <c r="B8" s="25"/>
      <c r="C8" s="24">
        <f>IFERROR(_xlfn.XLOOKUP(C4,department_performance[department_name],department_performance[profit_margin])/100,"Select Department")</f>
        <v>0.65339999999999998</v>
      </c>
      <c r="D8" s="24"/>
      <c r="F8" s="23" t="s">
        <v>66</v>
      </c>
      <c r="G8" s="23"/>
      <c r="H8" s="24">
        <f>H7/H5</f>
        <v>0.60638835495931709</v>
      </c>
      <c r="I8" s="24"/>
    </row>
    <row r="9" spans="1:9">
      <c r="A9" s="15"/>
      <c r="C9" s="14"/>
    </row>
    <row r="10" spans="1:9">
      <c r="C10" s="14"/>
    </row>
    <row r="11" spans="1:9">
      <c r="C11" s="14"/>
    </row>
  </sheetData>
  <mergeCells count="22">
    <mergeCell ref="C6:D6"/>
    <mergeCell ref="C7:D7"/>
    <mergeCell ref="C8:D8"/>
    <mergeCell ref="A1:I2"/>
    <mergeCell ref="A3:I3"/>
    <mergeCell ref="A4:B4"/>
    <mergeCell ref="C4:D4"/>
    <mergeCell ref="A5:B5"/>
    <mergeCell ref="A6:B6"/>
    <mergeCell ref="A7:B7"/>
    <mergeCell ref="A8:B8"/>
    <mergeCell ref="C5:D5"/>
    <mergeCell ref="F4:G4"/>
    <mergeCell ref="F5:G5"/>
    <mergeCell ref="F6:G6"/>
    <mergeCell ref="H8:I8"/>
    <mergeCell ref="F8:G8"/>
    <mergeCell ref="F7:G7"/>
    <mergeCell ref="H4:I4"/>
    <mergeCell ref="H5:I5"/>
    <mergeCell ref="H6:I6"/>
    <mergeCell ref="H7:I7"/>
  </mergeCells>
  <dataValidations count="2">
    <dataValidation type="list" allowBlank="1" showInputMessage="1" showErrorMessage="1" sqref="C4" xr:uid="{FF2BCB92-A855-4C20-8A4D-2B0BDE9EBB97}">
      <formula1>DepartmentList</formula1>
    </dataValidation>
    <dataValidation type="list" allowBlank="1" showInputMessage="1" showErrorMessage="1" sqref="H4:I4" xr:uid="{1EC090FD-15C9-43C3-9962-33CCFB55D9A9}">
      <formula1>"2023,2024,2025"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214B-5CA9-4194-9AF9-C00CB33F7C2D}">
  <dimension ref="A1:D2"/>
  <sheetViews>
    <sheetView workbookViewId="0">
      <selection activeCell="D2" sqref="D2"/>
    </sheetView>
  </sheetViews>
  <sheetFormatPr defaultRowHeight="14.4"/>
  <cols>
    <col min="1" max="1" width="15" bestFit="1" customWidth="1"/>
    <col min="2" max="2" width="15.88671875" bestFit="1" customWidth="1"/>
    <col min="3" max="3" width="12.77734375" bestFit="1" customWidth="1"/>
    <col min="4" max="4" width="14.77734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5657249698</v>
      </c>
      <c r="B2">
        <v>2437618858</v>
      </c>
      <c r="C2">
        <v>3219630840</v>
      </c>
      <c r="D2">
        <v>56.91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5FE6-4456-4A84-AB57-7C1D52EA8C74}">
  <dimension ref="A1:F21"/>
  <sheetViews>
    <sheetView workbookViewId="0">
      <selection activeCell="L18" sqref="L18"/>
    </sheetView>
  </sheetViews>
  <sheetFormatPr defaultRowHeight="14.4"/>
  <cols>
    <col min="1" max="1" width="21.88671875" bestFit="1" customWidth="1"/>
    <col min="2" max="2" width="17.21875" bestFit="1" customWidth="1"/>
    <col min="3" max="3" width="15" bestFit="1" customWidth="1"/>
    <col min="4" max="4" width="15.88671875" bestFit="1" customWidth="1"/>
    <col min="5" max="5" width="12.77734375" bestFit="1" customWidth="1"/>
    <col min="6" max="6" width="14.77734375" bestFit="1" customWidth="1"/>
  </cols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s="1" t="s">
        <v>6</v>
      </c>
      <c r="B2" s="1" t="s">
        <v>7</v>
      </c>
      <c r="C2">
        <v>2400847705</v>
      </c>
      <c r="D2">
        <v>832014138</v>
      </c>
      <c r="E2">
        <v>1568833567</v>
      </c>
      <c r="F2">
        <v>65.34</v>
      </c>
    </row>
    <row r="3" spans="1:6">
      <c r="A3" s="1" t="s">
        <v>8</v>
      </c>
      <c r="B3" s="1" t="s">
        <v>9</v>
      </c>
      <c r="C3">
        <v>1447291137</v>
      </c>
      <c r="D3">
        <v>607973738</v>
      </c>
      <c r="E3">
        <v>839317399</v>
      </c>
      <c r="F3">
        <v>57.99</v>
      </c>
    </row>
    <row r="4" spans="1:6">
      <c r="A4" s="1" t="s">
        <v>10</v>
      </c>
      <c r="B4" s="1" t="s">
        <v>11</v>
      </c>
      <c r="C4">
        <v>516008611</v>
      </c>
      <c r="D4">
        <v>252203485</v>
      </c>
      <c r="E4">
        <v>263805126</v>
      </c>
      <c r="F4">
        <v>51.12</v>
      </c>
    </row>
    <row r="5" spans="1:6">
      <c r="A5" s="1" t="s">
        <v>12</v>
      </c>
      <c r="B5" s="1" t="s">
        <v>13</v>
      </c>
      <c r="C5">
        <v>395437074</v>
      </c>
      <c r="D5">
        <v>222828026</v>
      </c>
      <c r="E5">
        <v>172609048</v>
      </c>
      <c r="F5">
        <v>43.65</v>
      </c>
    </row>
    <row r="6" spans="1:6">
      <c r="A6" s="1" t="s">
        <v>14</v>
      </c>
      <c r="B6" s="1" t="s">
        <v>15</v>
      </c>
      <c r="C6">
        <v>306422151</v>
      </c>
      <c r="D6">
        <v>176447303</v>
      </c>
      <c r="E6">
        <v>129974848</v>
      </c>
      <c r="F6">
        <v>42.42</v>
      </c>
    </row>
    <row r="7" spans="1:6">
      <c r="A7" s="1" t="s">
        <v>16</v>
      </c>
      <c r="B7" s="1" t="s">
        <v>17</v>
      </c>
      <c r="C7">
        <v>240906868</v>
      </c>
      <c r="D7">
        <v>123433322</v>
      </c>
      <c r="E7">
        <v>117473546</v>
      </c>
      <c r="F7">
        <v>48.76</v>
      </c>
    </row>
    <row r="8" spans="1:6">
      <c r="A8" s="1" t="s">
        <v>18</v>
      </c>
      <c r="B8" s="1" t="s">
        <v>19</v>
      </c>
      <c r="C8">
        <v>268938627</v>
      </c>
      <c r="D8">
        <v>162225447</v>
      </c>
      <c r="E8">
        <v>106713180</v>
      </c>
      <c r="F8">
        <v>39.68</v>
      </c>
    </row>
    <row r="9" spans="1:6">
      <c r="A9" s="1" t="s">
        <v>20</v>
      </c>
      <c r="B9" s="1" t="s">
        <v>21</v>
      </c>
      <c r="C9">
        <v>81397525</v>
      </c>
      <c r="D9">
        <v>60493399</v>
      </c>
      <c r="E9">
        <v>20904126</v>
      </c>
      <c r="F9">
        <v>25.68</v>
      </c>
    </row>
    <row r="12" spans="1:6">
      <c r="A12" s="6" t="s">
        <v>49</v>
      </c>
      <c r="B12" t="s">
        <v>53</v>
      </c>
    </row>
    <row r="13" spans="1:6">
      <c r="A13" s="7" t="s">
        <v>7</v>
      </c>
      <c r="B13" s="1">
        <v>1568833567</v>
      </c>
    </row>
    <row r="14" spans="1:6">
      <c r="A14" s="7" t="s">
        <v>9</v>
      </c>
      <c r="B14" s="1">
        <v>839317399</v>
      </c>
    </row>
    <row r="15" spans="1:6">
      <c r="A15" s="7" t="s">
        <v>11</v>
      </c>
      <c r="B15" s="1">
        <v>263805126</v>
      </c>
    </row>
    <row r="16" spans="1:6">
      <c r="A16" s="7" t="s">
        <v>13</v>
      </c>
      <c r="B16" s="1">
        <v>172609048</v>
      </c>
    </row>
    <row r="17" spans="1:2">
      <c r="A17" s="7" t="s">
        <v>15</v>
      </c>
      <c r="B17" s="1">
        <v>129974848</v>
      </c>
    </row>
    <row r="18" spans="1:2">
      <c r="A18" s="7" t="s">
        <v>17</v>
      </c>
      <c r="B18" s="1">
        <v>117473546</v>
      </c>
    </row>
    <row r="19" spans="1:2">
      <c r="A19" s="7" t="s">
        <v>19</v>
      </c>
      <c r="B19" s="1">
        <v>106713180</v>
      </c>
    </row>
    <row r="20" spans="1:2">
      <c r="A20" s="7" t="s">
        <v>21</v>
      </c>
      <c r="B20" s="1">
        <v>20904126</v>
      </c>
    </row>
    <row r="21" spans="1:2">
      <c r="A21" s="7" t="s">
        <v>50</v>
      </c>
      <c r="B21" s="1">
        <v>3219630840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AA5E-1EB3-4257-BACD-BA2123F78B98}">
  <dimension ref="A1:F37"/>
  <sheetViews>
    <sheetView workbookViewId="0">
      <selection activeCell="E6" sqref="E6"/>
    </sheetView>
  </sheetViews>
  <sheetFormatPr defaultRowHeight="14.4"/>
  <cols>
    <col min="1" max="1" width="6.88671875" bestFit="1" customWidth="1"/>
    <col min="2" max="2" width="16.6640625" bestFit="1" customWidth="1"/>
    <col min="3" max="3" width="14.6640625" bestFit="1" customWidth="1"/>
    <col min="4" max="4" width="15" bestFit="1" customWidth="1"/>
    <col min="5" max="5" width="15.88671875" bestFit="1" customWidth="1"/>
    <col min="6" max="6" width="12.77734375" bestFit="1" customWidth="1"/>
  </cols>
  <sheetData>
    <row r="1" spans="1:6">
      <c r="A1" t="s">
        <v>22</v>
      </c>
      <c r="B1" t="s">
        <v>23</v>
      </c>
      <c r="C1" t="s">
        <v>24</v>
      </c>
      <c r="D1" t="s">
        <v>0</v>
      </c>
      <c r="E1" t="s">
        <v>1</v>
      </c>
      <c r="F1" t="s">
        <v>2</v>
      </c>
    </row>
    <row r="2" spans="1:6">
      <c r="A2">
        <v>2023</v>
      </c>
      <c r="B2">
        <v>1</v>
      </c>
      <c r="C2" s="1" t="s">
        <v>25</v>
      </c>
      <c r="D2">
        <v>132128915</v>
      </c>
      <c r="E2">
        <v>65443497</v>
      </c>
      <c r="F2">
        <v>66685418</v>
      </c>
    </row>
    <row r="3" spans="1:6">
      <c r="A3">
        <v>2023</v>
      </c>
      <c r="B3">
        <v>2</v>
      </c>
      <c r="C3" s="1" t="s">
        <v>26</v>
      </c>
      <c r="D3">
        <v>153798129</v>
      </c>
      <c r="E3">
        <v>65598420</v>
      </c>
      <c r="F3">
        <v>88199709</v>
      </c>
    </row>
    <row r="4" spans="1:6">
      <c r="A4">
        <v>2023</v>
      </c>
      <c r="B4">
        <v>3</v>
      </c>
      <c r="C4" s="1" t="s">
        <v>27</v>
      </c>
      <c r="D4">
        <v>127190328</v>
      </c>
      <c r="E4">
        <v>73361444</v>
      </c>
      <c r="F4">
        <v>53828884</v>
      </c>
    </row>
    <row r="5" spans="1:6">
      <c r="A5">
        <v>2023</v>
      </c>
      <c r="B5">
        <v>4</v>
      </c>
      <c r="C5" s="1" t="s">
        <v>28</v>
      </c>
      <c r="D5">
        <v>140524533</v>
      </c>
      <c r="E5">
        <v>68495539</v>
      </c>
      <c r="F5">
        <v>72028994</v>
      </c>
    </row>
    <row r="6" spans="1:6">
      <c r="A6">
        <v>2023</v>
      </c>
      <c r="B6">
        <v>5</v>
      </c>
      <c r="C6" s="1" t="s">
        <v>29</v>
      </c>
      <c r="D6">
        <v>141237695</v>
      </c>
      <c r="E6">
        <v>68440596</v>
      </c>
      <c r="F6">
        <v>72797099</v>
      </c>
    </row>
    <row r="7" spans="1:6">
      <c r="A7">
        <v>2023</v>
      </c>
      <c r="B7">
        <v>6</v>
      </c>
      <c r="C7" s="1" t="s">
        <v>30</v>
      </c>
      <c r="D7">
        <v>145908842</v>
      </c>
      <c r="E7">
        <v>67681093</v>
      </c>
      <c r="F7">
        <v>78227749</v>
      </c>
    </row>
    <row r="8" spans="1:6">
      <c r="A8">
        <v>2023</v>
      </c>
      <c r="B8">
        <v>7</v>
      </c>
      <c r="C8" s="1" t="s">
        <v>31</v>
      </c>
      <c r="D8">
        <v>146274081</v>
      </c>
      <c r="E8">
        <v>77182067</v>
      </c>
      <c r="F8">
        <v>69092014</v>
      </c>
    </row>
    <row r="9" spans="1:6">
      <c r="A9">
        <v>2023</v>
      </c>
      <c r="B9">
        <v>8</v>
      </c>
      <c r="C9" s="1" t="s">
        <v>32</v>
      </c>
      <c r="D9">
        <v>122129103</v>
      </c>
      <c r="E9">
        <v>65985278</v>
      </c>
      <c r="F9">
        <v>56143825</v>
      </c>
    </row>
    <row r="10" spans="1:6">
      <c r="A10">
        <v>2023</v>
      </c>
      <c r="B10">
        <v>9</v>
      </c>
      <c r="C10" s="1" t="s">
        <v>33</v>
      </c>
      <c r="D10">
        <v>151184981</v>
      </c>
      <c r="E10">
        <v>68912863</v>
      </c>
      <c r="F10">
        <v>82272118</v>
      </c>
    </row>
    <row r="11" spans="1:6">
      <c r="A11">
        <v>2023</v>
      </c>
      <c r="B11">
        <v>10</v>
      </c>
      <c r="C11" s="1" t="s">
        <v>34</v>
      </c>
      <c r="D11">
        <v>136544429</v>
      </c>
      <c r="E11">
        <v>59874478</v>
      </c>
      <c r="F11">
        <v>76669951</v>
      </c>
    </row>
    <row r="12" spans="1:6">
      <c r="A12">
        <v>2023</v>
      </c>
      <c r="B12">
        <v>11</v>
      </c>
      <c r="C12" s="1" t="s">
        <v>35</v>
      </c>
      <c r="D12">
        <v>140122316</v>
      </c>
      <c r="E12">
        <v>73485517</v>
      </c>
      <c r="F12">
        <v>66636799</v>
      </c>
    </row>
    <row r="13" spans="1:6">
      <c r="A13">
        <v>2023</v>
      </c>
      <c r="B13">
        <v>12</v>
      </c>
      <c r="C13" s="1" t="s">
        <v>36</v>
      </c>
      <c r="D13">
        <v>169260551</v>
      </c>
      <c r="E13">
        <v>71628850</v>
      </c>
      <c r="F13">
        <v>97631701</v>
      </c>
    </row>
    <row r="14" spans="1:6">
      <c r="A14">
        <v>2024</v>
      </c>
      <c r="B14">
        <v>1</v>
      </c>
      <c r="C14" s="1" t="s">
        <v>25</v>
      </c>
      <c r="D14">
        <v>152164901</v>
      </c>
      <c r="E14">
        <v>61945398</v>
      </c>
      <c r="F14">
        <v>90219503</v>
      </c>
    </row>
    <row r="15" spans="1:6">
      <c r="A15">
        <v>2024</v>
      </c>
      <c r="B15">
        <v>2</v>
      </c>
      <c r="C15" s="1" t="s">
        <v>26</v>
      </c>
      <c r="D15">
        <v>143038275</v>
      </c>
      <c r="E15">
        <v>68950101</v>
      </c>
      <c r="F15">
        <v>74088174</v>
      </c>
    </row>
    <row r="16" spans="1:6">
      <c r="A16">
        <v>2024</v>
      </c>
      <c r="B16">
        <v>3</v>
      </c>
      <c r="C16" s="1" t="s">
        <v>27</v>
      </c>
      <c r="D16">
        <v>157539347</v>
      </c>
      <c r="E16">
        <v>64723981</v>
      </c>
      <c r="F16">
        <v>92815366</v>
      </c>
    </row>
    <row r="17" spans="1:6">
      <c r="A17">
        <v>2024</v>
      </c>
      <c r="B17">
        <v>4</v>
      </c>
      <c r="C17" s="1" t="s">
        <v>28</v>
      </c>
      <c r="D17">
        <v>144969063</v>
      </c>
      <c r="E17">
        <v>60865453</v>
      </c>
      <c r="F17">
        <v>84103610</v>
      </c>
    </row>
    <row r="18" spans="1:6">
      <c r="A18">
        <v>2024</v>
      </c>
      <c r="B18">
        <v>5</v>
      </c>
      <c r="C18" s="1" t="s">
        <v>29</v>
      </c>
      <c r="D18">
        <v>130135454</v>
      </c>
      <c r="E18">
        <v>63915859</v>
      </c>
      <c r="F18">
        <v>66219595</v>
      </c>
    </row>
    <row r="19" spans="1:6">
      <c r="A19">
        <v>2024</v>
      </c>
      <c r="B19">
        <v>6</v>
      </c>
      <c r="C19" s="1" t="s">
        <v>30</v>
      </c>
      <c r="D19">
        <v>163299615</v>
      </c>
      <c r="E19">
        <v>72913498</v>
      </c>
      <c r="F19">
        <v>90386117</v>
      </c>
    </row>
    <row r="20" spans="1:6">
      <c r="A20">
        <v>2024</v>
      </c>
      <c r="B20">
        <v>7</v>
      </c>
      <c r="C20" s="1" t="s">
        <v>31</v>
      </c>
      <c r="D20">
        <v>166002720</v>
      </c>
      <c r="E20">
        <v>62629639</v>
      </c>
      <c r="F20">
        <v>103373081</v>
      </c>
    </row>
    <row r="21" spans="1:6">
      <c r="A21">
        <v>2024</v>
      </c>
      <c r="B21">
        <v>8</v>
      </c>
      <c r="C21" s="1" t="s">
        <v>32</v>
      </c>
      <c r="D21">
        <v>162374497</v>
      </c>
      <c r="E21">
        <v>62759425</v>
      </c>
      <c r="F21">
        <v>99615072</v>
      </c>
    </row>
    <row r="22" spans="1:6">
      <c r="A22">
        <v>2024</v>
      </c>
      <c r="B22">
        <v>9</v>
      </c>
      <c r="C22" s="1" t="s">
        <v>33</v>
      </c>
      <c r="D22">
        <v>174658512</v>
      </c>
      <c r="E22">
        <v>70152367</v>
      </c>
      <c r="F22">
        <v>104506145</v>
      </c>
    </row>
    <row r="23" spans="1:6">
      <c r="A23">
        <v>2024</v>
      </c>
      <c r="B23">
        <v>10</v>
      </c>
      <c r="C23" s="1" t="s">
        <v>34</v>
      </c>
      <c r="D23">
        <v>144273765</v>
      </c>
      <c r="E23">
        <v>62130894</v>
      </c>
      <c r="F23">
        <v>82142871</v>
      </c>
    </row>
    <row r="24" spans="1:6">
      <c r="A24">
        <v>2024</v>
      </c>
      <c r="B24">
        <v>11</v>
      </c>
      <c r="C24" s="1" t="s">
        <v>35</v>
      </c>
      <c r="D24">
        <v>168525251</v>
      </c>
      <c r="E24">
        <v>68721086</v>
      </c>
      <c r="F24">
        <v>99804165</v>
      </c>
    </row>
    <row r="25" spans="1:6">
      <c r="A25">
        <v>2024</v>
      </c>
      <c r="B25">
        <v>12</v>
      </c>
      <c r="C25" s="1" t="s">
        <v>36</v>
      </c>
      <c r="D25">
        <v>170790427</v>
      </c>
      <c r="E25">
        <v>75796099</v>
      </c>
      <c r="F25">
        <v>94994328</v>
      </c>
    </row>
    <row r="26" spans="1:6">
      <c r="A26">
        <v>2025</v>
      </c>
      <c r="B26">
        <v>1</v>
      </c>
      <c r="C26" s="1" t="s">
        <v>25</v>
      </c>
      <c r="D26">
        <v>145871039</v>
      </c>
      <c r="E26">
        <v>69669763</v>
      </c>
      <c r="F26">
        <v>76201276</v>
      </c>
    </row>
    <row r="27" spans="1:6">
      <c r="A27">
        <v>2025</v>
      </c>
      <c r="B27">
        <v>2</v>
      </c>
      <c r="C27" s="1" t="s">
        <v>26</v>
      </c>
      <c r="D27">
        <v>161373778</v>
      </c>
      <c r="E27">
        <v>70174762</v>
      </c>
      <c r="F27">
        <v>91199016</v>
      </c>
    </row>
    <row r="28" spans="1:6">
      <c r="A28">
        <v>2025</v>
      </c>
      <c r="B28">
        <v>3</v>
      </c>
      <c r="C28" s="1" t="s">
        <v>27</v>
      </c>
      <c r="D28">
        <v>143771526</v>
      </c>
      <c r="E28">
        <v>61338847</v>
      </c>
      <c r="F28">
        <v>82432679</v>
      </c>
    </row>
    <row r="29" spans="1:6">
      <c r="A29">
        <v>2025</v>
      </c>
      <c r="B29">
        <v>4</v>
      </c>
      <c r="C29" s="1" t="s">
        <v>28</v>
      </c>
      <c r="D29">
        <v>160538022</v>
      </c>
      <c r="E29">
        <v>64779974</v>
      </c>
      <c r="F29">
        <v>95758048</v>
      </c>
    </row>
    <row r="30" spans="1:6">
      <c r="A30">
        <v>2025</v>
      </c>
      <c r="B30">
        <v>5</v>
      </c>
      <c r="C30" s="1" t="s">
        <v>29</v>
      </c>
      <c r="D30">
        <v>163113854</v>
      </c>
      <c r="E30">
        <v>66049194</v>
      </c>
      <c r="F30">
        <v>97064660</v>
      </c>
    </row>
    <row r="31" spans="1:6">
      <c r="A31">
        <v>2025</v>
      </c>
      <c r="B31">
        <v>6</v>
      </c>
      <c r="C31" s="1" t="s">
        <v>30</v>
      </c>
      <c r="D31">
        <v>173070261</v>
      </c>
      <c r="E31">
        <v>62307908</v>
      </c>
      <c r="F31">
        <v>110762353</v>
      </c>
    </row>
    <row r="32" spans="1:6">
      <c r="A32">
        <v>2025</v>
      </c>
      <c r="B32">
        <v>7</v>
      </c>
      <c r="C32" s="1" t="s">
        <v>31</v>
      </c>
      <c r="D32">
        <v>168873999</v>
      </c>
      <c r="E32">
        <v>69257873</v>
      </c>
      <c r="F32">
        <v>99616126</v>
      </c>
    </row>
    <row r="33" spans="1:6">
      <c r="A33">
        <v>2025</v>
      </c>
      <c r="B33">
        <v>8</v>
      </c>
      <c r="C33" s="1" t="s">
        <v>32</v>
      </c>
      <c r="D33">
        <v>177096706</v>
      </c>
      <c r="E33">
        <v>68970080</v>
      </c>
      <c r="F33">
        <v>108126626</v>
      </c>
    </row>
    <row r="34" spans="1:6">
      <c r="A34">
        <v>2025</v>
      </c>
      <c r="B34">
        <v>9</v>
      </c>
      <c r="C34" s="1" t="s">
        <v>33</v>
      </c>
      <c r="D34">
        <v>198886376</v>
      </c>
      <c r="E34">
        <v>66833480</v>
      </c>
      <c r="F34">
        <v>132052896</v>
      </c>
    </row>
    <row r="35" spans="1:6">
      <c r="A35">
        <v>2025</v>
      </c>
      <c r="B35">
        <v>10</v>
      </c>
      <c r="C35" s="1" t="s">
        <v>34</v>
      </c>
      <c r="D35">
        <v>162357626</v>
      </c>
      <c r="E35">
        <v>69709370</v>
      </c>
      <c r="F35">
        <v>92648256</v>
      </c>
    </row>
    <row r="36" spans="1:6">
      <c r="A36">
        <v>2025</v>
      </c>
      <c r="B36">
        <v>11</v>
      </c>
      <c r="C36" s="1" t="s">
        <v>35</v>
      </c>
      <c r="D36">
        <v>213417754</v>
      </c>
      <c r="E36">
        <v>78843490</v>
      </c>
      <c r="F36">
        <v>134574264</v>
      </c>
    </row>
    <row r="37" spans="1:6">
      <c r="A37">
        <v>2025</v>
      </c>
      <c r="B37">
        <v>12</v>
      </c>
      <c r="C37" s="1" t="s">
        <v>36</v>
      </c>
      <c r="D37">
        <v>204803027</v>
      </c>
      <c r="E37">
        <v>68090675</v>
      </c>
      <c r="F37">
        <v>136712352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3C9A-2C38-4834-BC7E-3B9DE0AD09E6}">
  <dimension ref="A1:G37"/>
  <sheetViews>
    <sheetView topLeftCell="A2" workbookViewId="0"/>
  </sheetViews>
  <sheetFormatPr defaultRowHeight="14.4"/>
  <cols>
    <col min="1" max="1" width="6.88671875" bestFit="1" customWidth="1"/>
    <col min="2" max="2" width="16.6640625" bestFit="1" customWidth="1"/>
    <col min="3" max="3" width="14.6640625" bestFit="1" customWidth="1"/>
    <col min="4" max="4" width="14.109375" bestFit="1" customWidth="1"/>
    <col min="5" max="5" width="16.33203125" bestFit="1" customWidth="1"/>
    <col min="6" max="6" width="10.33203125" bestFit="1" customWidth="1"/>
    <col min="7" max="7" width="17.88671875" bestFit="1" customWidth="1"/>
  </cols>
  <sheetData>
    <row r="1" spans="1:7">
      <c r="A1" t="s">
        <v>22</v>
      </c>
      <c r="B1" t="s">
        <v>23</v>
      </c>
      <c r="C1" t="s">
        <v>24</v>
      </c>
      <c r="D1" t="s">
        <v>37</v>
      </c>
      <c r="E1" t="s">
        <v>38</v>
      </c>
      <c r="F1" t="s">
        <v>39</v>
      </c>
      <c r="G1" t="s">
        <v>40</v>
      </c>
    </row>
    <row r="2" spans="1:7">
      <c r="A2">
        <v>2023</v>
      </c>
      <c r="B2">
        <v>1</v>
      </c>
      <c r="C2" s="1" t="s">
        <v>25</v>
      </c>
      <c r="D2">
        <v>74868383</v>
      </c>
      <c r="E2">
        <v>65443497</v>
      </c>
      <c r="F2">
        <v>9424886</v>
      </c>
      <c r="G2">
        <v>12.59</v>
      </c>
    </row>
    <row r="3" spans="1:7">
      <c r="A3">
        <v>2023</v>
      </c>
      <c r="B3">
        <v>2</v>
      </c>
      <c r="C3" s="1" t="s">
        <v>26</v>
      </c>
      <c r="D3">
        <v>76685486</v>
      </c>
      <c r="E3">
        <v>65598420</v>
      </c>
      <c r="F3">
        <v>11087066</v>
      </c>
      <c r="G3">
        <v>14.46</v>
      </c>
    </row>
    <row r="4" spans="1:7">
      <c r="A4">
        <v>2023</v>
      </c>
      <c r="B4">
        <v>3</v>
      </c>
      <c r="C4" s="1" t="s">
        <v>27</v>
      </c>
      <c r="D4">
        <v>69950661</v>
      </c>
      <c r="E4">
        <v>73361444</v>
      </c>
      <c r="F4">
        <v>-3410783</v>
      </c>
      <c r="G4">
        <v>-4.88</v>
      </c>
    </row>
    <row r="5" spans="1:7">
      <c r="A5">
        <v>2023</v>
      </c>
      <c r="B5">
        <v>4</v>
      </c>
      <c r="C5" s="1" t="s">
        <v>28</v>
      </c>
      <c r="D5">
        <v>75184823</v>
      </c>
      <c r="E5">
        <v>68495539</v>
      </c>
      <c r="F5">
        <v>6689284</v>
      </c>
      <c r="G5">
        <v>8.9</v>
      </c>
    </row>
    <row r="6" spans="1:7">
      <c r="A6">
        <v>2023</v>
      </c>
      <c r="B6">
        <v>5</v>
      </c>
      <c r="C6" s="1" t="s">
        <v>29</v>
      </c>
      <c r="D6">
        <v>81792810</v>
      </c>
      <c r="E6">
        <v>68440596</v>
      </c>
      <c r="F6">
        <v>13352214</v>
      </c>
      <c r="G6">
        <v>16.32</v>
      </c>
    </row>
    <row r="7" spans="1:7">
      <c r="A7">
        <v>2023</v>
      </c>
      <c r="B7">
        <v>6</v>
      </c>
      <c r="C7" s="1" t="s">
        <v>30</v>
      </c>
      <c r="D7">
        <v>70813395</v>
      </c>
      <c r="E7">
        <v>67681093</v>
      </c>
      <c r="F7">
        <v>3132302</v>
      </c>
      <c r="G7">
        <v>4.42</v>
      </c>
    </row>
    <row r="8" spans="1:7">
      <c r="A8">
        <v>2023</v>
      </c>
      <c r="B8">
        <v>7</v>
      </c>
      <c r="C8" s="1" t="s">
        <v>31</v>
      </c>
      <c r="D8">
        <v>77411071</v>
      </c>
      <c r="E8">
        <v>77182067</v>
      </c>
      <c r="F8">
        <v>229004</v>
      </c>
      <c r="G8">
        <v>0.3</v>
      </c>
    </row>
    <row r="9" spans="1:7">
      <c r="A9">
        <v>2023</v>
      </c>
      <c r="B9">
        <v>8</v>
      </c>
      <c r="C9" s="1" t="s">
        <v>32</v>
      </c>
      <c r="D9">
        <v>74869164</v>
      </c>
      <c r="E9">
        <v>65985278</v>
      </c>
      <c r="F9">
        <v>8883886</v>
      </c>
      <c r="G9">
        <v>11.87</v>
      </c>
    </row>
    <row r="10" spans="1:7">
      <c r="A10">
        <v>2023</v>
      </c>
      <c r="B10">
        <v>9</v>
      </c>
      <c r="C10" s="1" t="s">
        <v>33</v>
      </c>
      <c r="D10">
        <v>75668775</v>
      </c>
      <c r="E10">
        <v>68912863</v>
      </c>
      <c r="F10">
        <v>6755912</v>
      </c>
      <c r="G10">
        <v>8.93</v>
      </c>
    </row>
    <row r="11" spans="1:7">
      <c r="A11">
        <v>2023</v>
      </c>
      <c r="B11">
        <v>10</v>
      </c>
      <c r="C11" s="1" t="s">
        <v>34</v>
      </c>
      <c r="D11">
        <v>70788866</v>
      </c>
      <c r="E11">
        <v>59874478</v>
      </c>
      <c r="F11">
        <v>10914388</v>
      </c>
      <c r="G11">
        <v>15.42</v>
      </c>
    </row>
    <row r="12" spans="1:7">
      <c r="A12">
        <v>2023</v>
      </c>
      <c r="B12">
        <v>11</v>
      </c>
      <c r="C12" s="1" t="s">
        <v>35</v>
      </c>
      <c r="D12">
        <v>74766189</v>
      </c>
      <c r="E12">
        <v>73485517</v>
      </c>
      <c r="F12">
        <v>1280672</v>
      </c>
      <c r="G12">
        <v>1.71</v>
      </c>
    </row>
    <row r="13" spans="1:7">
      <c r="A13">
        <v>2023</v>
      </c>
      <c r="B13">
        <v>12</v>
      </c>
      <c r="C13" s="1" t="s">
        <v>36</v>
      </c>
      <c r="D13">
        <v>77924532</v>
      </c>
      <c r="E13">
        <v>71628850</v>
      </c>
      <c r="F13">
        <v>6295682</v>
      </c>
      <c r="G13">
        <v>8.08</v>
      </c>
    </row>
    <row r="14" spans="1:7">
      <c r="A14">
        <v>2024</v>
      </c>
      <c r="B14">
        <v>1</v>
      </c>
      <c r="C14" s="1" t="s">
        <v>25</v>
      </c>
      <c r="D14">
        <v>68526584</v>
      </c>
      <c r="E14">
        <v>61945398</v>
      </c>
      <c r="F14">
        <v>6581186</v>
      </c>
      <c r="G14">
        <v>9.6</v>
      </c>
    </row>
    <row r="15" spans="1:7">
      <c r="A15">
        <v>2024</v>
      </c>
      <c r="B15">
        <v>2</v>
      </c>
      <c r="C15" s="1" t="s">
        <v>26</v>
      </c>
      <c r="D15">
        <v>72293163</v>
      </c>
      <c r="E15">
        <v>68950101</v>
      </c>
      <c r="F15">
        <v>3343062</v>
      </c>
      <c r="G15">
        <v>4.62</v>
      </c>
    </row>
    <row r="16" spans="1:7">
      <c r="A16">
        <v>2024</v>
      </c>
      <c r="B16">
        <v>3</v>
      </c>
      <c r="C16" s="1" t="s">
        <v>27</v>
      </c>
      <c r="D16">
        <v>75909959</v>
      </c>
      <c r="E16">
        <v>64723981</v>
      </c>
      <c r="F16">
        <v>11185978</v>
      </c>
      <c r="G16">
        <v>14.74</v>
      </c>
    </row>
    <row r="17" spans="1:7">
      <c r="A17">
        <v>2024</v>
      </c>
      <c r="B17">
        <v>4</v>
      </c>
      <c r="C17" s="1" t="s">
        <v>28</v>
      </c>
      <c r="D17">
        <v>68110810</v>
      </c>
      <c r="E17">
        <v>60865453</v>
      </c>
      <c r="F17">
        <v>7245357</v>
      </c>
      <c r="G17">
        <v>10.64</v>
      </c>
    </row>
    <row r="18" spans="1:7">
      <c r="A18">
        <v>2024</v>
      </c>
      <c r="B18">
        <v>5</v>
      </c>
      <c r="C18" s="1" t="s">
        <v>29</v>
      </c>
      <c r="D18">
        <v>73647892</v>
      </c>
      <c r="E18">
        <v>63915859</v>
      </c>
      <c r="F18">
        <v>9732033</v>
      </c>
      <c r="G18">
        <v>13.21</v>
      </c>
    </row>
    <row r="19" spans="1:7">
      <c r="A19">
        <v>2024</v>
      </c>
      <c r="B19">
        <v>6</v>
      </c>
      <c r="C19" s="1" t="s">
        <v>30</v>
      </c>
      <c r="D19">
        <v>67204807</v>
      </c>
      <c r="E19">
        <v>72913498</v>
      </c>
      <c r="F19">
        <v>-5708691</v>
      </c>
      <c r="G19">
        <v>-8.49</v>
      </c>
    </row>
    <row r="20" spans="1:7">
      <c r="A20">
        <v>2024</v>
      </c>
      <c r="B20">
        <v>7</v>
      </c>
      <c r="C20" s="1" t="s">
        <v>31</v>
      </c>
      <c r="D20">
        <v>71660437</v>
      </c>
      <c r="E20">
        <v>62629639</v>
      </c>
      <c r="F20">
        <v>9030798</v>
      </c>
      <c r="G20">
        <v>12.6</v>
      </c>
    </row>
    <row r="21" spans="1:7">
      <c r="A21">
        <v>2024</v>
      </c>
      <c r="B21">
        <v>8</v>
      </c>
      <c r="C21" s="1" t="s">
        <v>32</v>
      </c>
      <c r="D21">
        <v>74689014</v>
      </c>
      <c r="E21">
        <v>62759425</v>
      </c>
      <c r="F21">
        <v>11929589</v>
      </c>
      <c r="G21">
        <v>15.97</v>
      </c>
    </row>
    <row r="22" spans="1:7">
      <c r="A22">
        <v>2024</v>
      </c>
      <c r="B22">
        <v>9</v>
      </c>
      <c r="C22" s="1" t="s">
        <v>33</v>
      </c>
      <c r="D22">
        <v>74852606</v>
      </c>
      <c r="E22">
        <v>70152367</v>
      </c>
      <c r="F22">
        <v>4700239</v>
      </c>
      <c r="G22">
        <v>6.28</v>
      </c>
    </row>
    <row r="23" spans="1:7">
      <c r="A23">
        <v>2024</v>
      </c>
      <c r="B23">
        <v>10</v>
      </c>
      <c r="C23" s="1" t="s">
        <v>34</v>
      </c>
      <c r="D23">
        <v>72641679</v>
      </c>
      <c r="E23">
        <v>62130894</v>
      </c>
      <c r="F23">
        <v>10510785</v>
      </c>
      <c r="G23">
        <v>14.47</v>
      </c>
    </row>
    <row r="24" spans="1:7">
      <c r="A24">
        <v>2024</v>
      </c>
      <c r="B24">
        <v>11</v>
      </c>
      <c r="C24" s="1" t="s">
        <v>35</v>
      </c>
      <c r="D24">
        <v>74242404</v>
      </c>
      <c r="E24">
        <v>68721086</v>
      </c>
      <c r="F24">
        <v>5521318</v>
      </c>
      <c r="G24">
        <v>7.44</v>
      </c>
    </row>
    <row r="25" spans="1:7">
      <c r="A25">
        <v>2024</v>
      </c>
      <c r="B25">
        <v>12</v>
      </c>
      <c r="C25" s="1" t="s">
        <v>36</v>
      </c>
      <c r="D25">
        <v>78110466</v>
      </c>
      <c r="E25">
        <v>75796099</v>
      </c>
      <c r="F25">
        <v>2314367</v>
      </c>
      <c r="G25">
        <v>2.96</v>
      </c>
    </row>
    <row r="26" spans="1:7">
      <c r="A26">
        <v>2025</v>
      </c>
      <c r="B26">
        <v>1</v>
      </c>
      <c r="C26" s="1" t="s">
        <v>25</v>
      </c>
      <c r="D26">
        <v>80563516</v>
      </c>
      <c r="E26">
        <v>69669763</v>
      </c>
      <c r="F26">
        <v>10893753</v>
      </c>
      <c r="G26">
        <v>13.52</v>
      </c>
    </row>
    <row r="27" spans="1:7">
      <c r="A27">
        <v>2025</v>
      </c>
      <c r="B27">
        <v>2</v>
      </c>
      <c r="C27" s="1" t="s">
        <v>26</v>
      </c>
      <c r="D27">
        <v>73034380</v>
      </c>
      <c r="E27">
        <v>70174762</v>
      </c>
      <c r="F27">
        <v>2859618</v>
      </c>
      <c r="G27">
        <v>3.92</v>
      </c>
    </row>
    <row r="28" spans="1:7">
      <c r="A28">
        <v>2025</v>
      </c>
      <c r="B28">
        <v>3</v>
      </c>
      <c r="C28" s="1" t="s">
        <v>27</v>
      </c>
      <c r="D28">
        <v>75446990</v>
      </c>
      <c r="E28">
        <v>61338847</v>
      </c>
      <c r="F28">
        <v>14108143</v>
      </c>
      <c r="G28">
        <v>18.7</v>
      </c>
    </row>
    <row r="29" spans="1:7">
      <c r="A29">
        <v>2025</v>
      </c>
      <c r="B29">
        <v>4</v>
      </c>
      <c r="C29" s="1" t="s">
        <v>28</v>
      </c>
      <c r="D29">
        <v>74581914</v>
      </c>
      <c r="E29">
        <v>64779974</v>
      </c>
      <c r="F29">
        <v>9801940</v>
      </c>
      <c r="G29">
        <v>13.14</v>
      </c>
    </row>
    <row r="30" spans="1:7">
      <c r="A30">
        <v>2025</v>
      </c>
      <c r="B30">
        <v>5</v>
      </c>
      <c r="C30" s="1" t="s">
        <v>29</v>
      </c>
      <c r="D30">
        <v>73599630</v>
      </c>
      <c r="E30">
        <v>66049194</v>
      </c>
      <c r="F30">
        <v>7550436</v>
      </c>
      <c r="G30">
        <v>10.26</v>
      </c>
    </row>
    <row r="31" spans="1:7">
      <c r="A31">
        <v>2025</v>
      </c>
      <c r="B31">
        <v>6</v>
      </c>
      <c r="C31" s="1" t="s">
        <v>30</v>
      </c>
      <c r="D31">
        <v>79377698</v>
      </c>
      <c r="E31">
        <v>62307908</v>
      </c>
      <c r="F31">
        <v>17069790</v>
      </c>
      <c r="G31">
        <v>21.5</v>
      </c>
    </row>
    <row r="32" spans="1:7">
      <c r="A32">
        <v>2025</v>
      </c>
      <c r="B32">
        <v>7</v>
      </c>
      <c r="C32" s="1" t="s">
        <v>31</v>
      </c>
      <c r="D32">
        <v>69325280</v>
      </c>
      <c r="E32">
        <v>69257873</v>
      </c>
      <c r="F32">
        <v>67407</v>
      </c>
      <c r="G32">
        <v>0.1</v>
      </c>
    </row>
    <row r="33" spans="1:7">
      <c r="A33">
        <v>2025</v>
      </c>
      <c r="B33">
        <v>8</v>
      </c>
      <c r="C33" s="1" t="s">
        <v>32</v>
      </c>
      <c r="D33">
        <v>82224020</v>
      </c>
      <c r="E33">
        <v>68970080</v>
      </c>
      <c r="F33">
        <v>13253940</v>
      </c>
      <c r="G33">
        <v>16.12</v>
      </c>
    </row>
    <row r="34" spans="1:7">
      <c r="A34">
        <v>2025</v>
      </c>
      <c r="B34">
        <v>9</v>
      </c>
      <c r="C34" s="1" t="s">
        <v>33</v>
      </c>
      <c r="D34">
        <v>73658381</v>
      </c>
      <c r="E34">
        <v>66833480</v>
      </c>
      <c r="F34">
        <v>6824901</v>
      </c>
      <c r="G34">
        <v>9.27</v>
      </c>
    </row>
    <row r="35" spans="1:7">
      <c r="A35">
        <v>2025</v>
      </c>
      <c r="B35">
        <v>10</v>
      </c>
      <c r="C35" s="1" t="s">
        <v>34</v>
      </c>
      <c r="D35">
        <v>74444950</v>
      </c>
      <c r="E35">
        <v>69709370</v>
      </c>
      <c r="F35">
        <v>4735580</v>
      </c>
      <c r="G35">
        <v>6.36</v>
      </c>
    </row>
    <row r="36" spans="1:7">
      <c r="A36">
        <v>2025</v>
      </c>
      <c r="B36">
        <v>11</v>
      </c>
      <c r="C36" s="1" t="s">
        <v>35</v>
      </c>
      <c r="D36">
        <v>77064004</v>
      </c>
      <c r="E36">
        <v>78843490</v>
      </c>
      <c r="F36">
        <v>-1779486</v>
      </c>
      <c r="G36">
        <v>-2.31</v>
      </c>
    </row>
    <row r="37" spans="1:7">
      <c r="A37">
        <v>2025</v>
      </c>
      <c r="B37">
        <v>12</v>
      </c>
      <c r="C37" s="1" t="s">
        <v>36</v>
      </c>
      <c r="D37">
        <v>73286174</v>
      </c>
      <c r="E37">
        <v>68090675</v>
      </c>
      <c r="F37">
        <v>5195499</v>
      </c>
      <c r="G37">
        <v>7.09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2437-F808-4676-A5AD-2B9BE0DBA4FF}">
  <dimension ref="A1:P26"/>
  <sheetViews>
    <sheetView workbookViewId="0">
      <selection activeCell="F25" sqref="F25"/>
    </sheetView>
  </sheetViews>
  <sheetFormatPr defaultRowHeight="14.4"/>
  <cols>
    <col min="1" max="1" width="13.77734375" bestFit="1" customWidth="1"/>
    <col min="2" max="2" width="19.44140625" bestFit="1" customWidth="1"/>
    <col min="3" max="3" width="20.21875" bestFit="1" customWidth="1"/>
    <col min="4" max="4" width="10" bestFit="1" customWidth="1"/>
    <col min="5" max="7" width="20.6640625" bestFit="1" customWidth="1"/>
    <col min="8" max="9" width="10" bestFit="1" customWidth="1"/>
    <col min="10" max="10" width="13.77734375" bestFit="1" customWidth="1"/>
    <col min="11" max="11" width="18.5546875" bestFit="1" customWidth="1"/>
    <col min="12" max="12" width="20.6640625" bestFit="1" customWidth="1"/>
    <col min="13" max="14" width="10" bestFit="1" customWidth="1"/>
    <col min="15" max="15" width="21.88671875" bestFit="1" customWidth="1"/>
    <col min="16" max="16" width="20.21875" bestFit="1" customWidth="1"/>
    <col min="17" max="37" width="10" bestFit="1" customWidth="1"/>
    <col min="38" max="38" width="10.77734375" bestFit="1" customWidth="1"/>
  </cols>
  <sheetData>
    <row r="1" spans="1:16" ht="14.4" customHeight="1">
      <c r="A1" s="6" t="s">
        <v>49</v>
      </c>
      <c r="B1" t="s">
        <v>51</v>
      </c>
      <c r="C1" t="s">
        <v>52</v>
      </c>
      <c r="F1" s="6" t="s">
        <v>49</v>
      </c>
      <c r="G1" t="s">
        <v>53</v>
      </c>
      <c r="J1" s="6" t="s">
        <v>49</v>
      </c>
      <c r="K1" t="s">
        <v>54</v>
      </c>
      <c r="L1" t="s">
        <v>55</v>
      </c>
      <c r="O1" s="6" t="s">
        <v>49</v>
      </c>
      <c r="P1" t="s">
        <v>52</v>
      </c>
    </row>
    <row r="2" spans="1:16" ht="14.4" customHeight="1">
      <c r="A2" s="7">
        <v>1</v>
      </c>
      <c r="B2" s="1">
        <v>430164855</v>
      </c>
      <c r="C2" s="1">
        <v>197058658</v>
      </c>
      <c r="F2" s="7" t="s">
        <v>7</v>
      </c>
      <c r="G2" s="1">
        <v>1568833567</v>
      </c>
      <c r="J2" s="7">
        <v>1</v>
      </c>
      <c r="K2" s="1">
        <v>223958483</v>
      </c>
      <c r="L2" s="1">
        <v>197058658</v>
      </c>
      <c r="O2" s="7" t="s">
        <v>19</v>
      </c>
      <c r="P2" s="1">
        <v>162225447</v>
      </c>
    </row>
    <row r="3" spans="1:16" ht="14.4" customHeight="1">
      <c r="A3" s="8" t="s">
        <v>25</v>
      </c>
      <c r="B3" s="1">
        <v>430164855</v>
      </c>
      <c r="C3" s="1">
        <v>197058658</v>
      </c>
      <c r="F3" s="7" t="s">
        <v>9</v>
      </c>
      <c r="G3" s="1">
        <v>839317399</v>
      </c>
      <c r="J3" s="8" t="s">
        <v>25</v>
      </c>
      <c r="K3" s="1">
        <v>223958483</v>
      </c>
      <c r="L3" s="1">
        <v>197058658</v>
      </c>
      <c r="O3" s="7" t="s">
        <v>15</v>
      </c>
      <c r="P3" s="1">
        <v>176447303</v>
      </c>
    </row>
    <row r="4" spans="1:16">
      <c r="A4" s="7">
        <v>2</v>
      </c>
      <c r="B4" s="1">
        <v>458210182</v>
      </c>
      <c r="C4" s="1">
        <v>204723283</v>
      </c>
      <c r="F4" s="7" t="s">
        <v>11</v>
      </c>
      <c r="G4" s="1">
        <v>263805126</v>
      </c>
      <c r="J4" s="7">
        <v>2</v>
      </c>
      <c r="K4" s="1">
        <v>222013029</v>
      </c>
      <c r="L4" s="1">
        <v>204723283</v>
      </c>
      <c r="O4" s="7" t="s">
        <v>21</v>
      </c>
      <c r="P4" s="1">
        <v>60493399</v>
      </c>
    </row>
    <row r="5" spans="1:16">
      <c r="A5" s="8" t="s">
        <v>26</v>
      </c>
      <c r="B5" s="1">
        <v>458210182</v>
      </c>
      <c r="C5" s="1">
        <v>204723283</v>
      </c>
      <c r="F5" s="7" t="s">
        <v>13</v>
      </c>
      <c r="G5" s="1">
        <v>172609048</v>
      </c>
      <c r="J5" s="8" t="s">
        <v>26</v>
      </c>
      <c r="K5" s="1">
        <v>222013029</v>
      </c>
      <c r="L5" s="1">
        <v>204723283</v>
      </c>
      <c r="O5" s="7" t="s">
        <v>13</v>
      </c>
      <c r="P5" s="1">
        <v>222828026</v>
      </c>
    </row>
    <row r="6" spans="1:16">
      <c r="A6" s="7">
        <v>3</v>
      </c>
      <c r="B6" s="1">
        <v>428501201</v>
      </c>
      <c r="C6" s="1">
        <v>199424272</v>
      </c>
      <c r="F6" s="7" t="s">
        <v>15</v>
      </c>
      <c r="G6" s="1">
        <v>129974848</v>
      </c>
      <c r="J6" s="7">
        <v>3</v>
      </c>
      <c r="K6" s="1">
        <v>221307610</v>
      </c>
      <c r="L6" s="1">
        <v>199424272</v>
      </c>
      <c r="O6" s="7" t="s">
        <v>11</v>
      </c>
      <c r="P6" s="1">
        <v>252203485</v>
      </c>
    </row>
    <row r="7" spans="1:16">
      <c r="A7" s="8" t="s">
        <v>27</v>
      </c>
      <c r="B7" s="1">
        <v>428501201</v>
      </c>
      <c r="C7" s="1">
        <v>199424272</v>
      </c>
      <c r="F7" s="7" t="s">
        <v>17</v>
      </c>
      <c r="G7" s="1">
        <v>117473546</v>
      </c>
      <c r="J7" s="8" t="s">
        <v>27</v>
      </c>
      <c r="K7" s="1">
        <v>221307610</v>
      </c>
      <c r="L7" s="1">
        <v>199424272</v>
      </c>
      <c r="O7" s="7" t="s">
        <v>9</v>
      </c>
      <c r="P7" s="1">
        <v>607973738</v>
      </c>
    </row>
    <row r="8" spans="1:16">
      <c r="A8" s="7">
        <v>4</v>
      </c>
      <c r="B8" s="1">
        <v>446031618</v>
      </c>
      <c r="C8" s="1">
        <v>194140966</v>
      </c>
      <c r="F8" s="7" t="s">
        <v>19</v>
      </c>
      <c r="G8" s="1">
        <v>106713180</v>
      </c>
      <c r="J8" s="7">
        <v>4</v>
      </c>
      <c r="K8" s="1">
        <v>217877547</v>
      </c>
      <c r="L8" s="1">
        <v>194140966</v>
      </c>
      <c r="O8" s="7" t="s">
        <v>17</v>
      </c>
      <c r="P8" s="1">
        <v>123433322</v>
      </c>
    </row>
    <row r="9" spans="1:16">
      <c r="A9" s="8" t="s">
        <v>28</v>
      </c>
      <c r="B9" s="1">
        <v>446031618</v>
      </c>
      <c r="C9" s="1">
        <v>194140966</v>
      </c>
      <c r="F9" s="7" t="s">
        <v>21</v>
      </c>
      <c r="G9" s="1">
        <v>20904126</v>
      </c>
      <c r="J9" s="8" t="s">
        <v>28</v>
      </c>
      <c r="K9" s="1">
        <v>217877547</v>
      </c>
      <c r="L9" s="1">
        <v>194140966</v>
      </c>
      <c r="O9" s="7" t="s">
        <v>7</v>
      </c>
      <c r="P9" s="1">
        <v>832014138</v>
      </c>
    </row>
    <row r="10" spans="1:16">
      <c r="A10" s="7">
        <v>5</v>
      </c>
      <c r="B10" s="1">
        <v>434487003</v>
      </c>
      <c r="C10" s="1">
        <v>198405649</v>
      </c>
      <c r="F10" s="7" t="s">
        <v>50</v>
      </c>
      <c r="G10" s="1">
        <v>3219630840</v>
      </c>
      <c r="J10" s="7">
        <v>5</v>
      </c>
      <c r="K10" s="1">
        <v>229040332</v>
      </c>
      <c r="L10" s="1">
        <v>198405649</v>
      </c>
      <c r="O10" s="7" t="s">
        <v>50</v>
      </c>
      <c r="P10" s="1">
        <v>2437618858</v>
      </c>
    </row>
    <row r="11" spans="1:16">
      <c r="A11" s="8" t="s">
        <v>29</v>
      </c>
      <c r="B11" s="1">
        <v>434487003</v>
      </c>
      <c r="C11" s="1">
        <v>198405649</v>
      </c>
      <c r="J11" s="8" t="s">
        <v>29</v>
      </c>
      <c r="K11" s="1">
        <v>229040332</v>
      </c>
      <c r="L11" s="1">
        <v>198405649</v>
      </c>
    </row>
    <row r="12" spans="1:16">
      <c r="A12" s="7">
        <v>6</v>
      </c>
      <c r="B12" s="1">
        <v>482278718</v>
      </c>
      <c r="C12" s="1">
        <v>202902499</v>
      </c>
      <c r="J12" s="7">
        <v>6</v>
      </c>
      <c r="K12" s="1">
        <v>217395900</v>
      </c>
      <c r="L12" s="1">
        <v>202902499</v>
      </c>
    </row>
    <row r="13" spans="1:16">
      <c r="A13" s="8" t="s">
        <v>30</v>
      </c>
      <c r="B13" s="1">
        <v>482278718</v>
      </c>
      <c r="C13" s="1">
        <v>202902499</v>
      </c>
      <c r="J13" s="8" t="s">
        <v>30</v>
      </c>
      <c r="K13" s="1">
        <v>217395900</v>
      </c>
      <c r="L13" s="1">
        <v>202902499</v>
      </c>
    </row>
    <row r="14" spans="1:16">
      <c r="A14" s="7">
        <v>7</v>
      </c>
      <c r="B14" s="1">
        <v>481150800</v>
      </c>
      <c r="C14" s="1">
        <v>209069579</v>
      </c>
      <c r="J14" s="7">
        <v>7</v>
      </c>
      <c r="K14" s="1">
        <v>218396788</v>
      </c>
      <c r="L14" s="1">
        <v>209069579</v>
      </c>
    </row>
    <row r="15" spans="1:16">
      <c r="A15" s="8" t="s">
        <v>31</v>
      </c>
      <c r="B15" s="1">
        <v>481150800</v>
      </c>
      <c r="C15" s="1">
        <v>209069579</v>
      </c>
      <c r="J15" s="8" t="s">
        <v>31</v>
      </c>
      <c r="K15" s="1">
        <v>218396788</v>
      </c>
      <c r="L15" s="1">
        <v>209069579</v>
      </c>
    </row>
    <row r="16" spans="1:16">
      <c r="A16" s="7">
        <v>8</v>
      </c>
      <c r="B16" s="1">
        <v>461600306</v>
      </c>
      <c r="C16" s="1">
        <v>197714783</v>
      </c>
      <c r="J16" s="7">
        <v>8</v>
      </c>
      <c r="K16" s="1">
        <v>231782198</v>
      </c>
      <c r="L16" s="1">
        <v>197714783</v>
      </c>
    </row>
    <row r="17" spans="1:12">
      <c r="A17" s="8" t="s">
        <v>32</v>
      </c>
      <c r="B17" s="1">
        <v>461600306</v>
      </c>
      <c r="C17" s="1">
        <v>197714783</v>
      </c>
      <c r="J17" s="8" t="s">
        <v>32</v>
      </c>
      <c r="K17" s="1">
        <v>231782198</v>
      </c>
      <c r="L17" s="1">
        <v>197714783</v>
      </c>
    </row>
    <row r="18" spans="1:12">
      <c r="A18" s="7">
        <v>9</v>
      </c>
      <c r="B18" s="1">
        <v>524729869</v>
      </c>
      <c r="C18" s="1">
        <v>205898710</v>
      </c>
      <c r="J18" s="7">
        <v>9</v>
      </c>
      <c r="K18" s="1">
        <v>224179762</v>
      </c>
      <c r="L18" s="1">
        <v>205898710</v>
      </c>
    </row>
    <row r="19" spans="1:12">
      <c r="A19" s="8" t="s">
        <v>33</v>
      </c>
      <c r="B19" s="1">
        <v>524729869</v>
      </c>
      <c r="C19" s="1">
        <v>205898710</v>
      </c>
      <c r="J19" s="8" t="s">
        <v>33</v>
      </c>
      <c r="K19" s="1">
        <v>224179762</v>
      </c>
      <c r="L19" s="1">
        <v>205898710</v>
      </c>
    </row>
    <row r="20" spans="1:12">
      <c r="A20" s="7">
        <v>10</v>
      </c>
      <c r="B20" s="1">
        <v>443175820</v>
      </c>
      <c r="C20" s="1">
        <v>191714742</v>
      </c>
      <c r="J20" s="7">
        <v>10</v>
      </c>
      <c r="K20" s="1">
        <v>217875495</v>
      </c>
      <c r="L20" s="1">
        <v>191714742</v>
      </c>
    </row>
    <row r="21" spans="1:12">
      <c r="A21" s="8" t="s">
        <v>34</v>
      </c>
      <c r="B21" s="1">
        <v>443175820</v>
      </c>
      <c r="C21" s="1">
        <v>191714742</v>
      </c>
      <c r="J21" s="8" t="s">
        <v>34</v>
      </c>
      <c r="K21" s="1">
        <v>217875495</v>
      </c>
      <c r="L21" s="1">
        <v>191714742</v>
      </c>
    </row>
    <row r="22" spans="1:12">
      <c r="A22" s="7">
        <v>11</v>
      </c>
      <c r="B22" s="1">
        <v>522065321</v>
      </c>
      <c r="C22" s="1">
        <v>221050093</v>
      </c>
      <c r="J22" s="7">
        <v>11</v>
      </c>
      <c r="K22" s="1">
        <v>226072597</v>
      </c>
      <c r="L22" s="1">
        <v>221050093</v>
      </c>
    </row>
    <row r="23" spans="1:12">
      <c r="A23" s="8" t="s">
        <v>35</v>
      </c>
      <c r="B23" s="1">
        <v>522065321</v>
      </c>
      <c r="C23" s="1">
        <v>221050093</v>
      </c>
      <c r="J23" s="8" t="s">
        <v>35</v>
      </c>
      <c r="K23" s="1">
        <v>226072597</v>
      </c>
      <c r="L23" s="1">
        <v>221050093</v>
      </c>
    </row>
    <row r="24" spans="1:12">
      <c r="A24" s="7">
        <v>12</v>
      </c>
      <c r="B24" s="1">
        <v>544854005</v>
      </c>
      <c r="C24" s="1">
        <v>215515624</v>
      </c>
      <c r="J24" s="7">
        <v>12</v>
      </c>
      <c r="K24" s="1">
        <v>229321172</v>
      </c>
      <c r="L24" s="1">
        <v>215515624</v>
      </c>
    </row>
    <row r="25" spans="1:12">
      <c r="A25" s="8" t="s">
        <v>36</v>
      </c>
      <c r="B25" s="1">
        <v>544854005</v>
      </c>
      <c r="C25" s="1">
        <v>215515624</v>
      </c>
      <c r="J25" s="8" t="s">
        <v>36</v>
      </c>
      <c r="K25" s="1">
        <v>229321172</v>
      </c>
      <c r="L25" s="1">
        <v>215515624</v>
      </c>
    </row>
    <row r="26" spans="1:12">
      <c r="A26" s="7" t="s">
        <v>50</v>
      </c>
      <c r="B26" s="1">
        <v>5657249698</v>
      </c>
      <c r="C26" s="1">
        <v>2437618858</v>
      </c>
      <c r="J26" s="7" t="s">
        <v>50</v>
      </c>
      <c r="K26" s="1">
        <v>2679220913</v>
      </c>
      <c r="L26" s="1">
        <v>2437618858</v>
      </c>
    </row>
  </sheetData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74A793-A31F-489D-98CB-C80CC6B8E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Dashboard</vt:lpstr>
      <vt:lpstr>Excel_Analysis</vt:lpstr>
      <vt:lpstr>KPI Summary</vt:lpstr>
      <vt:lpstr>Department Peformance</vt:lpstr>
      <vt:lpstr>Monthly Financials</vt:lpstr>
      <vt:lpstr>Budget Variance</vt:lpstr>
      <vt:lpstr>Calculations</vt:lpstr>
      <vt:lpstr>D53D57</vt:lpstr>
      <vt:lpstr>DepartmentList</vt:lpstr>
      <vt:lpstr>E11G36</vt:lpstr>
      <vt:lpstr>F6G6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cp:lastPrinted>2026-07-11T18:24:03Z</cp:lastPrinted>
  <dcterms:created xsi:type="dcterms:W3CDTF">2015-06-05T18:17:20Z</dcterms:created>
  <dcterms:modified xsi:type="dcterms:W3CDTF">2026-07-14T03:51:19Z</dcterms:modified>
</cp:coreProperties>
</file>